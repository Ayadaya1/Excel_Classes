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/>
</workbook>
</file>

<file path=xl/calcChain.xml><?xml version="1.0" encoding="utf-8"?>
<calcChain xmlns="http://schemas.openxmlformats.org/spreadsheetml/2006/main">
  <c r="F22" i="1"/>
  <c r="E21"/>
  <c r="D20"/>
  <c r="C20" s="1"/>
  <c r="C24"/>
  <c r="D24"/>
  <c r="E25"/>
  <c r="F18" l="1"/>
  <c r="E17"/>
  <c r="D16"/>
  <c r="C16" s="1"/>
  <c r="F154" l="1"/>
  <c r="E153"/>
  <c r="D152"/>
  <c r="C152" s="1"/>
  <c r="E149"/>
  <c r="D148"/>
  <c r="C148" s="1"/>
  <c r="F146" l="1"/>
  <c r="E145"/>
  <c r="D144"/>
  <c r="C144"/>
  <c r="F142" l="1"/>
  <c r="E141"/>
  <c r="D140"/>
  <c r="C140" s="1"/>
  <c r="F115" l="1"/>
  <c r="C113" s="1"/>
  <c r="E114"/>
  <c r="D113"/>
  <c r="F137" l="1"/>
  <c r="E136"/>
  <c r="D135"/>
  <c r="F134"/>
  <c r="E133"/>
  <c r="D132"/>
  <c r="F131"/>
  <c r="E130"/>
  <c r="D129"/>
  <c r="F128"/>
  <c r="E127"/>
  <c r="D126"/>
  <c r="F125"/>
  <c r="E124"/>
  <c r="D123"/>
  <c r="F122"/>
  <c r="E121"/>
  <c r="D120"/>
  <c r="F119"/>
  <c r="E118"/>
  <c r="D117"/>
  <c r="C120" l="1"/>
  <c r="C132"/>
  <c r="C123"/>
  <c r="C135"/>
  <c r="C126"/>
  <c r="C117"/>
  <c r="C129"/>
  <c r="F110" l="1"/>
  <c r="E109"/>
  <c r="D108"/>
  <c r="F107"/>
  <c r="E106"/>
  <c r="D105"/>
  <c r="F104"/>
  <c r="E103"/>
  <c r="D102"/>
  <c r="F101"/>
  <c r="E100"/>
  <c r="D99"/>
  <c r="F98"/>
  <c r="E97"/>
  <c r="D96"/>
  <c r="F95"/>
  <c r="E94"/>
  <c r="D93"/>
  <c r="F92"/>
  <c r="E91"/>
  <c r="D90"/>
  <c r="C93" l="1"/>
  <c r="C105"/>
  <c r="C96"/>
  <c r="C108"/>
  <c r="C99"/>
  <c r="C90"/>
  <c r="C102"/>
  <c r="F88"/>
  <c r="E87"/>
  <c r="D86"/>
  <c r="C86" l="1"/>
  <c r="F83"/>
  <c r="E82"/>
  <c r="D81"/>
  <c r="C81" l="1"/>
  <c r="F67"/>
  <c r="F79"/>
  <c r="E78"/>
  <c r="D77"/>
  <c r="F76"/>
  <c r="E75"/>
  <c r="D74"/>
  <c r="F73"/>
  <c r="E72"/>
  <c r="D71"/>
  <c r="E69"/>
  <c r="D68"/>
  <c r="E66"/>
  <c r="D65"/>
  <c r="E63"/>
  <c r="D62"/>
  <c r="C62" s="1"/>
  <c r="F61"/>
  <c r="E60"/>
  <c r="D59"/>
  <c r="C65" l="1"/>
  <c r="C71"/>
  <c r="C74"/>
  <c r="C59"/>
  <c r="C68"/>
  <c r="C77"/>
  <c r="F57"/>
  <c r="E56"/>
  <c r="D55"/>
  <c r="C55" l="1"/>
  <c r="F53"/>
  <c r="E52"/>
  <c r="D51"/>
  <c r="C51" l="1"/>
  <c r="F49"/>
  <c r="E48"/>
  <c r="D47"/>
  <c r="F46"/>
  <c r="E45"/>
  <c r="D44"/>
  <c r="C44" l="1"/>
  <c r="C47"/>
  <c r="F42"/>
  <c r="E41"/>
  <c r="D40"/>
  <c r="C40" l="1"/>
  <c r="F38"/>
  <c r="E37"/>
  <c r="D36"/>
  <c r="C36" l="1"/>
  <c r="F34"/>
  <c r="E33"/>
  <c r="D32"/>
  <c r="C32" l="1"/>
  <c r="F30"/>
  <c r="E29"/>
  <c r="D28"/>
  <c r="C28" l="1"/>
  <c r="F26"/>
</calcChain>
</file>

<file path=xl/sharedStrings.xml><?xml version="1.0" encoding="utf-8"?>
<sst xmlns="http://schemas.openxmlformats.org/spreadsheetml/2006/main" count="127" uniqueCount="74">
  <si>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</si>
  <si>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</si>
  <si>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</si>
  <si>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</si>
  <si>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</si>
  <si>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</si>
  <si>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</si>
  <si>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</si>
  <si>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</si>
  <si>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</si>
  <si>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</si>
  <si>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</si>
  <si>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</si>
  <si>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</si>
  <si>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</si>
  <si>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</si>
  <si>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</si>
  <si>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>Дифф. зачет</t>
  </si>
  <si>
    <t xml:space="preserve">                     Учебная сетка</t>
  </si>
  <si>
    <t xml:space="preserve">                                            Кафедра № 1</t>
  </si>
  <si>
    <t xml:space="preserve">                     Весенний семестр  2021/2022 учебный год</t>
  </si>
  <si>
    <t>Дисциплины кафедры № 1</t>
  </si>
  <si>
    <t xml:space="preserve">               1 КУРС</t>
  </si>
  <si>
    <t>Философия</t>
  </si>
  <si>
    <t xml:space="preserve">                                       Дисциплины 211, 212 (ОПУВТ)</t>
  </si>
  <si>
    <t>Дисциплины 213, 214, 214а (ОрАД)</t>
  </si>
  <si>
    <t>Коммуникационный менеджмент</t>
  </si>
  <si>
    <t>Дисциплины 313 (ОАБ)</t>
  </si>
  <si>
    <t>Русский язык и культура общения</t>
  </si>
  <si>
    <t>Дифф.зачет</t>
  </si>
  <si>
    <t>Дисциплины 319 (ОБПрВТ)</t>
  </si>
  <si>
    <t>Дисциплины 312 (ТЛ)</t>
  </si>
  <si>
    <t>Дисциплины 318 (УПОВТ)</t>
  </si>
  <si>
    <t>История мировой литературы и искусства</t>
  </si>
  <si>
    <t>КР</t>
  </si>
  <si>
    <t>Современный русский язык</t>
  </si>
  <si>
    <t xml:space="preserve">Философия </t>
  </si>
  <si>
    <t>История рекламы и связей с общественностью</t>
  </si>
  <si>
    <t>Основы теории коммуникации</t>
  </si>
  <si>
    <t>Теория и практика рекламы</t>
  </si>
  <si>
    <t>Теория и практика связей с общественностью</t>
  </si>
  <si>
    <t>Дисциплины 411 (РЕК)</t>
  </si>
  <si>
    <t>Реклама и связи с общественностью в сфере сервиса на транспорте</t>
  </si>
  <si>
    <t>Дисциплины 413 (СНТ)</t>
  </si>
  <si>
    <t xml:space="preserve">               2 КУРС</t>
  </si>
  <si>
    <t>Конфликтология</t>
  </si>
  <si>
    <t>Дисциплины 306 (ООТБ)</t>
  </si>
  <si>
    <t>Речевая коммуникация и копирайтинг в рекламе и связях с общественностью</t>
  </si>
  <si>
    <t xml:space="preserve">Имиджелогия </t>
  </si>
  <si>
    <t>Теория и практика массмедиа</t>
  </si>
  <si>
    <t>Интегрированные коммуникации и брендинг</t>
  </si>
  <si>
    <t>Социология и психология рекламы и связей с  общественностью</t>
  </si>
  <si>
    <t>Риторика</t>
  </si>
  <si>
    <t>Дисциплины 401, 402 (РЕК)</t>
  </si>
  <si>
    <t>Ресурсное обеспечение авиабизнеса</t>
  </si>
  <si>
    <t>Организация и проведение коммуникационных кампаний</t>
  </si>
  <si>
    <t>Цифровые коммуникации</t>
  </si>
  <si>
    <t>Менеджмент в рекламе и связях с общественностью</t>
  </si>
  <si>
    <t>Организация выставочной деятельности в авиабизнесе</t>
  </si>
  <si>
    <t xml:space="preserve">               3 КУРС</t>
  </si>
  <si>
    <t>Дисциплины 491, 492 (РЕК)</t>
  </si>
  <si>
    <t>Дисциплины 215 (ОРТОП)</t>
  </si>
  <si>
    <t>Дисциплины 216, 217 (ОрТОР)</t>
  </si>
  <si>
    <t>Дисциплины  193,194 (ЛЭГВС)</t>
  </si>
  <si>
    <t xml:space="preserve">Экзамен </t>
  </si>
  <si>
    <t>Дисциплины  180 (ОЛР)</t>
  </si>
  <si>
    <t xml:space="preserve">               4 КУРС</t>
  </si>
  <si>
    <t>Перенос с 9 семестра</t>
  </si>
  <si>
    <t>Дисциплины  181 (ОЛР)</t>
  </si>
  <si>
    <t>Дисциплины  182 (ОЛР)</t>
  </si>
  <si>
    <t xml:space="preserve">               5 КУРС</t>
  </si>
  <si>
    <t>Дисциплины  170,171,172 (ОЛР)</t>
  </si>
  <si>
    <t xml:space="preserve">                                       Дисциплины 118,119 (ОрАНО)</t>
  </si>
  <si>
    <t xml:space="preserve">                                       Дисциплины 115,116,117 (ОрВД)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</si>
</sst>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sz val="8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12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49" fontId="12" fillId="0" borderId="0" xfId="1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0" fontId="2" fillId="0" borderId="23" xfId="0" applyFont="1" applyBorder="1" applyAlignment="1">
      <alignment horizontal="left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3" fillId="3" borderId="39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41" xfId="0" applyFont="1" applyFill="1" applyBorder="1" applyAlignment="1">
      <alignment vertical="center" wrapText="1"/>
    </xf>
    <xf numFmtId="0" fontId="3" fillId="3" borderId="56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18" xfId="0" applyFont="1" applyFill="1" applyBorder="1" applyAlignment="1">
      <alignment vertical="center" wrapText="1"/>
    </xf>
    <xf numFmtId="0" fontId="3" fillId="3" borderId="57" xfId="0" applyFont="1" applyFill="1" applyBorder="1" applyAlignment="1">
      <alignment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61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5" fillId="0" borderId="63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4" fillId="4" borderId="16" xfId="0" applyNumberFormat="1" applyFont="1" applyFill="1" applyBorder="1" applyAlignment="1" applyProtection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vertical="center" wrapText="1"/>
    </xf>
    <xf numFmtId="0" fontId="3" fillId="0" borderId="58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6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vertical="center" wrapText="1"/>
    </xf>
    <xf numFmtId="0" fontId="3" fillId="0" borderId="64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54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4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5" fillId="0" borderId="10" xfId="0" applyFont="1" applyFill="1" applyBorder="1" applyAlignment="1">
      <alignment horizontal="center" vertical="center" wrapText="1"/>
    </xf>
    <xf numFmtId="49" fontId="3" fillId="0" borderId="16" xfId="0" applyNumberFormat="1" applyFont="1" applyFill="1" applyBorder="1" applyAlignment="1" applyProtection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1" fontId="13" fillId="3" borderId="53" xfId="0" applyNumberFormat="1" applyFont="1" applyFill="1" applyBorder="1" applyAlignment="1" applyProtection="1">
      <alignment horizontal="center" vertical="center" wrapText="1" shrinkToFit="1"/>
    </xf>
    <xf numFmtId="1" fontId="13" fillId="3" borderId="40" xfId="0" applyNumberFormat="1" applyFont="1" applyFill="1" applyBorder="1" applyAlignment="1" applyProtection="1">
      <alignment horizontal="center" vertical="center" wrapText="1" shrinkToFit="1"/>
    </xf>
    <xf numFmtId="1" fontId="13" fillId="3" borderId="54" xfId="0" applyNumberFormat="1" applyFont="1" applyFill="1" applyBorder="1" applyAlignment="1" applyProtection="1">
      <alignment horizontal="center" vertical="center" wrapText="1" shrinkToFi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3" borderId="21" xfId="0" applyFont="1" applyFill="1" applyBorder="1" applyAlignment="1" applyProtection="1">
      <alignment horizontal="center" vertical="center" wrapText="1" shrinkToFit="1"/>
    </xf>
    <xf numFmtId="0" fontId="2" fillId="3" borderId="22" xfId="0" applyFont="1" applyFill="1" applyBorder="1" applyAlignment="1" applyProtection="1">
      <alignment horizontal="center" vertical="center" wrapText="1" shrinkToFit="1"/>
    </xf>
    <xf numFmtId="0" fontId="2" fillId="3" borderId="23" xfId="0" applyFont="1" applyFill="1" applyBorder="1" applyAlignment="1" applyProtection="1">
      <alignment horizontal="center" vertical="center" wrapText="1" shrinkToFi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5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1" fontId="6" fillId="3" borderId="53" xfId="0" applyNumberFormat="1" applyFont="1" applyFill="1" applyBorder="1" applyAlignment="1" applyProtection="1">
      <alignment horizontal="center" vertical="center" wrapText="1" shrinkToFit="1"/>
    </xf>
    <xf numFmtId="1" fontId="6" fillId="3" borderId="40" xfId="0" applyNumberFormat="1" applyFont="1" applyFill="1" applyBorder="1" applyAlignment="1" applyProtection="1">
      <alignment horizontal="center" vertical="center" wrapText="1" shrinkToFit="1"/>
    </xf>
    <xf numFmtId="1" fontId="6" fillId="3" borderId="54" xfId="0" applyNumberFormat="1" applyFont="1" applyFill="1" applyBorder="1" applyAlignment="1" applyProtection="1">
      <alignment horizontal="center" vertical="center" wrapText="1" shrinkToFit="1"/>
    </xf>
  </cellXfs>
  <cellStyles count="2">
    <cellStyle name="Обычный" xfId="0" builtinId="0"/>
    <cellStyle name="Обычный 3" xfId="1"/>
  </cellStyles>
  <dxfs count="286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K154"/>
  <sheetViews>
    <sheetView tabSelected="1" zoomScale="70" zoomScaleNormal="70" workbookViewId="0">
      <selection activeCell="AK19" sqref="AK19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5" customWidth="1"/>
    <col min="30" max="30" width="5.7109375" style="46" customWidth="1"/>
    <col min="31" max="31" width="24.42578125" style="2" customWidth="1"/>
    <col min="32" max="16384" width="9.140625" style="1"/>
  </cols>
  <sheetData>
    <row r="1" spans="1:41" ht="18.75" customHeight="1">
      <c r="A1" s="174" t="s">
        <v>18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94"/>
    </row>
    <row r="2" spans="1:41">
      <c r="A2" s="175" t="s">
        <v>20</v>
      </c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</row>
    <row r="3" spans="1:41" ht="18.75" customHeight="1">
      <c r="A3" s="173"/>
      <c r="B3" s="173"/>
      <c r="C3" s="173"/>
      <c r="H3" s="176" t="s">
        <v>19</v>
      </c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4"/>
      <c r="AD4" s="45"/>
      <c r="AE4" s="3"/>
    </row>
    <row r="5" spans="1:41" ht="20.100000000000001" customHeight="1" thickBot="1">
      <c r="A5" s="182" t="s">
        <v>1</v>
      </c>
      <c r="B5" s="185" t="s">
        <v>0</v>
      </c>
      <c r="C5" s="177" t="s">
        <v>4</v>
      </c>
      <c r="D5" s="178"/>
      <c r="E5" s="178"/>
      <c r="F5" s="178"/>
      <c r="G5" s="199" t="s">
        <v>9</v>
      </c>
      <c r="H5" s="200"/>
      <c r="I5" s="191" t="s">
        <v>10</v>
      </c>
      <c r="J5" s="192"/>
      <c r="K5" s="192"/>
      <c r="L5" s="193"/>
      <c r="M5" s="53" t="s">
        <v>11</v>
      </c>
      <c r="N5" s="54"/>
      <c r="O5" s="54"/>
      <c r="P5" s="55"/>
      <c r="Q5" s="53" t="s">
        <v>12</v>
      </c>
      <c r="R5" s="54"/>
      <c r="S5" s="54"/>
      <c r="T5" s="54"/>
      <c r="U5" s="191" t="s">
        <v>13</v>
      </c>
      <c r="V5" s="200"/>
      <c r="W5" s="192"/>
      <c r="X5" s="192"/>
      <c r="Y5" s="55"/>
      <c r="Z5" s="191" t="s">
        <v>14</v>
      </c>
      <c r="AA5" s="192"/>
      <c r="AB5" s="192"/>
      <c r="AC5" s="192"/>
      <c r="AD5" s="62"/>
      <c r="AE5" s="185" t="s">
        <v>5</v>
      </c>
    </row>
    <row r="6" spans="1:41" ht="20.100000000000001" customHeight="1" thickBot="1">
      <c r="A6" s="183"/>
      <c r="B6" s="186"/>
      <c r="C6" s="179"/>
      <c r="D6" s="180"/>
      <c r="E6" s="180"/>
      <c r="F6" s="181"/>
      <c r="G6" s="17">
        <v>24</v>
      </c>
      <c r="H6" s="18">
        <v>31</v>
      </c>
      <c r="I6" s="19">
        <v>7</v>
      </c>
      <c r="J6" s="20">
        <v>14</v>
      </c>
      <c r="K6" s="21">
        <v>21</v>
      </c>
      <c r="L6" s="27">
        <v>28</v>
      </c>
      <c r="M6" s="23">
        <v>7</v>
      </c>
      <c r="N6" s="20">
        <v>14</v>
      </c>
      <c r="O6" s="19">
        <v>21</v>
      </c>
      <c r="P6" s="22">
        <v>28</v>
      </c>
      <c r="Q6" s="25">
        <v>4</v>
      </c>
      <c r="R6" s="19">
        <v>11</v>
      </c>
      <c r="S6" s="19">
        <v>18</v>
      </c>
      <c r="T6" s="22">
        <v>25</v>
      </c>
      <c r="U6" s="28">
        <v>2</v>
      </c>
      <c r="V6" s="58">
        <v>9</v>
      </c>
      <c r="W6" s="26">
        <v>16</v>
      </c>
      <c r="X6" s="25">
        <v>23</v>
      </c>
      <c r="Y6" s="22">
        <v>30</v>
      </c>
      <c r="Z6" s="59">
        <v>6</v>
      </c>
      <c r="AA6" s="61">
        <v>13</v>
      </c>
      <c r="AB6" s="20">
        <v>20</v>
      </c>
      <c r="AC6" s="22">
        <v>27</v>
      </c>
      <c r="AD6" s="28">
        <v>4</v>
      </c>
      <c r="AE6" s="186"/>
    </row>
    <row r="7" spans="1:41" ht="20.100000000000001" customHeight="1" thickBot="1">
      <c r="A7" s="183"/>
      <c r="B7" s="186"/>
      <c r="C7" s="188" t="s">
        <v>2</v>
      </c>
      <c r="D7" s="196" t="s">
        <v>3</v>
      </c>
      <c r="E7" s="197"/>
      <c r="F7" s="198"/>
      <c r="G7" s="47">
        <v>25</v>
      </c>
      <c r="H7" s="24">
        <v>1</v>
      </c>
      <c r="I7" s="31">
        <v>8</v>
      </c>
      <c r="J7" s="32">
        <v>15</v>
      </c>
      <c r="K7" s="30">
        <v>22</v>
      </c>
      <c r="L7" s="25">
        <v>1</v>
      </c>
      <c r="M7" s="52">
        <v>8</v>
      </c>
      <c r="N7" s="32">
        <v>15</v>
      </c>
      <c r="O7" s="31">
        <v>22</v>
      </c>
      <c r="P7" s="30">
        <v>29</v>
      </c>
      <c r="Q7" s="36">
        <v>5</v>
      </c>
      <c r="R7" s="19">
        <v>12</v>
      </c>
      <c r="S7" s="19">
        <v>19</v>
      </c>
      <c r="T7" s="37">
        <v>26</v>
      </c>
      <c r="U7" s="56">
        <v>3</v>
      </c>
      <c r="V7" s="35">
        <v>10</v>
      </c>
      <c r="W7" s="35">
        <v>17</v>
      </c>
      <c r="X7" s="36">
        <v>24</v>
      </c>
      <c r="Y7" s="34">
        <v>31</v>
      </c>
      <c r="Z7" s="31">
        <v>7</v>
      </c>
      <c r="AA7" s="20">
        <v>14</v>
      </c>
      <c r="AB7" s="20">
        <v>21</v>
      </c>
      <c r="AC7" s="30">
        <v>28</v>
      </c>
      <c r="AD7" s="33">
        <v>5</v>
      </c>
      <c r="AE7" s="186"/>
    </row>
    <row r="8" spans="1:41" ht="20.100000000000001" customHeight="1">
      <c r="A8" s="183"/>
      <c r="B8" s="186"/>
      <c r="C8" s="189"/>
      <c r="D8" s="194" t="s">
        <v>6</v>
      </c>
      <c r="E8" s="189" t="s">
        <v>7</v>
      </c>
      <c r="F8" s="189" t="s">
        <v>8</v>
      </c>
      <c r="G8" s="47">
        <v>26</v>
      </c>
      <c r="H8" s="29">
        <v>2</v>
      </c>
      <c r="I8" s="19">
        <v>9</v>
      </c>
      <c r="J8" s="20">
        <v>16</v>
      </c>
      <c r="K8" s="51">
        <v>23</v>
      </c>
      <c r="L8" s="19">
        <v>2</v>
      </c>
      <c r="M8" s="19">
        <v>9</v>
      </c>
      <c r="N8" s="20">
        <v>16</v>
      </c>
      <c r="O8" s="19">
        <v>23</v>
      </c>
      <c r="P8" s="30">
        <v>30</v>
      </c>
      <c r="Q8" s="36">
        <v>6</v>
      </c>
      <c r="R8" s="19">
        <v>13</v>
      </c>
      <c r="S8" s="19">
        <v>20</v>
      </c>
      <c r="T8" s="37">
        <v>27</v>
      </c>
      <c r="U8" s="33">
        <v>4</v>
      </c>
      <c r="V8" s="32">
        <v>11</v>
      </c>
      <c r="W8" s="32">
        <v>18</v>
      </c>
      <c r="X8" s="30">
        <v>25</v>
      </c>
      <c r="Y8" s="25">
        <v>1</v>
      </c>
      <c r="Z8" s="19">
        <v>8</v>
      </c>
      <c r="AA8" s="20">
        <v>15</v>
      </c>
      <c r="AB8" s="20">
        <v>22</v>
      </c>
      <c r="AC8" s="30">
        <v>29</v>
      </c>
      <c r="AD8" s="31">
        <v>6</v>
      </c>
      <c r="AE8" s="186"/>
    </row>
    <row r="9" spans="1:41" s="4" customFormat="1" ht="20.100000000000001" customHeight="1" thickBot="1">
      <c r="A9" s="183"/>
      <c r="B9" s="186"/>
      <c r="C9" s="189"/>
      <c r="D9" s="194"/>
      <c r="E9" s="189"/>
      <c r="F9" s="189"/>
      <c r="G9" s="47">
        <v>27</v>
      </c>
      <c r="H9" s="29">
        <v>3</v>
      </c>
      <c r="I9" s="31">
        <v>10</v>
      </c>
      <c r="J9" s="32">
        <v>17</v>
      </c>
      <c r="K9" s="30">
        <v>24</v>
      </c>
      <c r="L9" s="31">
        <v>3</v>
      </c>
      <c r="M9" s="31">
        <v>10</v>
      </c>
      <c r="N9" s="32">
        <v>17</v>
      </c>
      <c r="O9" s="31">
        <v>24</v>
      </c>
      <c r="P9" s="38">
        <v>31</v>
      </c>
      <c r="Q9" s="31">
        <v>7</v>
      </c>
      <c r="R9" s="19">
        <v>14</v>
      </c>
      <c r="S9" s="19">
        <v>21</v>
      </c>
      <c r="T9" s="37">
        <v>28</v>
      </c>
      <c r="U9" s="56">
        <v>5</v>
      </c>
      <c r="V9" s="32">
        <v>12</v>
      </c>
      <c r="W9" s="32">
        <v>19</v>
      </c>
      <c r="X9" s="30">
        <v>26</v>
      </c>
      <c r="Y9" s="31">
        <v>2</v>
      </c>
      <c r="Z9" s="19">
        <v>9</v>
      </c>
      <c r="AA9" s="20">
        <v>16</v>
      </c>
      <c r="AB9" s="20">
        <v>23</v>
      </c>
      <c r="AC9" s="34">
        <v>30</v>
      </c>
      <c r="AD9" s="47">
        <v>7</v>
      </c>
      <c r="AE9" s="181"/>
    </row>
    <row r="10" spans="1:41" s="4" customFormat="1" ht="20.100000000000001" customHeight="1">
      <c r="A10" s="183"/>
      <c r="B10" s="186"/>
      <c r="C10" s="189"/>
      <c r="D10" s="194"/>
      <c r="E10" s="189"/>
      <c r="F10" s="189"/>
      <c r="G10" s="48">
        <v>28</v>
      </c>
      <c r="H10" s="29">
        <v>4</v>
      </c>
      <c r="I10" s="19">
        <v>11</v>
      </c>
      <c r="J10" s="20">
        <v>18</v>
      </c>
      <c r="K10" s="37">
        <v>25</v>
      </c>
      <c r="L10" s="19">
        <v>4</v>
      </c>
      <c r="M10" s="19">
        <v>11</v>
      </c>
      <c r="N10" s="20">
        <v>18</v>
      </c>
      <c r="O10" s="30">
        <v>25</v>
      </c>
      <c r="P10" s="19">
        <v>1</v>
      </c>
      <c r="Q10" s="19">
        <v>8</v>
      </c>
      <c r="R10" s="19">
        <v>15</v>
      </c>
      <c r="S10" s="19">
        <v>22</v>
      </c>
      <c r="T10" s="37">
        <v>29</v>
      </c>
      <c r="U10" s="29">
        <v>6</v>
      </c>
      <c r="V10" s="32">
        <v>13</v>
      </c>
      <c r="W10" s="20">
        <v>20</v>
      </c>
      <c r="X10" s="37">
        <v>27</v>
      </c>
      <c r="Y10" s="19">
        <v>3</v>
      </c>
      <c r="Z10" s="19">
        <v>10</v>
      </c>
      <c r="AA10" s="20">
        <v>17</v>
      </c>
      <c r="AB10" s="30">
        <v>24</v>
      </c>
      <c r="AC10" s="25">
        <v>1</v>
      </c>
      <c r="AD10" s="33">
        <v>8</v>
      </c>
      <c r="AE10" s="186"/>
    </row>
    <row r="11" spans="1:41" s="4" customFormat="1" ht="20.100000000000001" customHeight="1" thickBot="1">
      <c r="A11" s="183"/>
      <c r="B11" s="186"/>
      <c r="C11" s="189"/>
      <c r="D11" s="194"/>
      <c r="E11" s="189"/>
      <c r="F11" s="189"/>
      <c r="G11" s="49">
        <v>29</v>
      </c>
      <c r="H11" s="39">
        <v>5</v>
      </c>
      <c r="I11" s="31">
        <v>12</v>
      </c>
      <c r="J11" s="32">
        <v>19</v>
      </c>
      <c r="K11" s="38">
        <v>26</v>
      </c>
      <c r="L11" s="41">
        <v>5</v>
      </c>
      <c r="M11" s="31">
        <v>12</v>
      </c>
      <c r="N11" s="32">
        <v>19</v>
      </c>
      <c r="O11" s="30">
        <v>26</v>
      </c>
      <c r="P11" s="41">
        <v>2</v>
      </c>
      <c r="Q11" s="41">
        <v>9</v>
      </c>
      <c r="R11" s="40">
        <v>16</v>
      </c>
      <c r="S11" s="41">
        <v>23</v>
      </c>
      <c r="T11" s="21">
        <v>30</v>
      </c>
      <c r="U11" s="57">
        <v>7</v>
      </c>
      <c r="V11" s="40">
        <v>14</v>
      </c>
      <c r="W11" s="40">
        <v>21</v>
      </c>
      <c r="X11" s="38">
        <v>28</v>
      </c>
      <c r="Y11" s="41">
        <v>4</v>
      </c>
      <c r="Z11" s="19">
        <v>11</v>
      </c>
      <c r="AA11" s="20">
        <v>18</v>
      </c>
      <c r="AB11" s="34">
        <v>25</v>
      </c>
      <c r="AC11" s="60">
        <v>2</v>
      </c>
      <c r="AD11" s="56">
        <v>9</v>
      </c>
      <c r="AE11" s="186"/>
    </row>
    <row r="12" spans="1:41" s="4" customFormat="1" ht="20.100000000000001" customHeight="1" thickBot="1">
      <c r="A12" s="184"/>
      <c r="B12" s="187"/>
      <c r="C12" s="190"/>
      <c r="D12" s="195"/>
      <c r="E12" s="190"/>
      <c r="F12" s="190"/>
      <c r="G12" s="50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2">
        <v>11</v>
      </c>
      <c r="R12" s="7">
        <v>12</v>
      </c>
      <c r="S12" s="6">
        <v>13</v>
      </c>
      <c r="T12" s="8">
        <v>14</v>
      </c>
      <c r="U12" s="5">
        <v>15</v>
      </c>
      <c r="V12" s="42">
        <v>16</v>
      </c>
      <c r="W12" s="43">
        <v>17</v>
      </c>
      <c r="X12" s="44">
        <v>18</v>
      </c>
      <c r="Y12" s="16">
        <v>19</v>
      </c>
      <c r="Z12" s="16">
        <v>20</v>
      </c>
      <c r="AA12" s="6">
        <v>21</v>
      </c>
      <c r="AB12" s="10">
        <v>22</v>
      </c>
      <c r="AC12" s="9">
        <v>23</v>
      </c>
      <c r="AD12" s="6">
        <v>24</v>
      </c>
      <c r="AE12" s="187"/>
    </row>
    <row r="13" spans="1:41" s="4" customFormat="1" ht="35.25" customHeight="1">
      <c r="A13" s="96"/>
      <c r="B13" s="96"/>
      <c r="C13" s="95"/>
      <c r="D13" s="95"/>
      <c r="E13" s="95"/>
      <c r="F13" s="95"/>
      <c r="G13" s="95"/>
      <c r="H13" s="95"/>
      <c r="I13" s="95"/>
      <c r="J13" s="95"/>
      <c r="K13" s="95"/>
      <c r="L13" s="171" t="s">
        <v>21</v>
      </c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</row>
    <row r="14" spans="1:41" s="4" customFormat="1" ht="20.25" customHeight="1" thickBot="1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172" t="s">
        <v>22</v>
      </c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</row>
    <row r="15" spans="1:41" s="4" customFormat="1" ht="20.25" customHeight="1" thickBot="1">
      <c r="A15" s="161" t="s">
        <v>72</v>
      </c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98"/>
      <c r="AF15" s="152"/>
      <c r="AG15" s="152"/>
      <c r="AH15" s="152"/>
      <c r="AI15" s="152"/>
      <c r="AJ15" s="152"/>
      <c r="AK15" s="152"/>
      <c r="AL15" s="152"/>
      <c r="AM15" s="152"/>
      <c r="AN15" s="152"/>
      <c r="AO15" s="152"/>
    </row>
    <row r="16" spans="1:41" s="4" customFormat="1" ht="37.5">
      <c r="A16" s="63">
        <v>1</v>
      </c>
      <c r="B16" s="64" t="s">
        <v>28</v>
      </c>
      <c r="C16" s="65">
        <f>SUM(D16:F18)</f>
        <v>36</v>
      </c>
      <c r="D16" s="66">
        <f>SUM(G16:AD16)</f>
        <v>18</v>
      </c>
      <c r="E16" s="66"/>
      <c r="F16" s="67"/>
      <c r="G16" s="68">
        <v>2</v>
      </c>
      <c r="H16" s="69"/>
      <c r="I16" s="69">
        <v>2</v>
      </c>
      <c r="J16" s="68"/>
      <c r="K16" s="65">
        <v>2</v>
      </c>
      <c r="L16" s="66"/>
      <c r="M16" s="66">
        <v>2</v>
      </c>
      <c r="N16" s="66"/>
      <c r="O16" s="66">
        <v>2</v>
      </c>
      <c r="P16" s="66"/>
      <c r="Q16" s="65">
        <v>2</v>
      </c>
      <c r="R16" s="65"/>
      <c r="S16" s="66">
        <v>2</v>
      </c>
      <c r="T16" s="66"/>
      <c r="U16" s="66">
        <v>2</v>
      </c>
      <c r="V16" s="66"/>
      <c r="W16" s="66">
        <v>2</v>
      </c>
      <c r="X16" s="66"/>
      <c r="Y16" s="66"/>
      <c r="Z16" s="66"/>
      <c r="AA16" s="66"/>
      <c r="AB16" s="66"/>
      <c r="AC16" s="66"/>
      <c r="AD16" s="66"/>
      <c r="AE16" s="67" t="s">
        <v>29</v>
      </c>
    </row>
    <row r="17" spans="1:44" s="4" customFormat="1" ht="19.5">
      <c r="A17" s="70"/>
      <c r="B17" s="71"/>
      <c r="C17" s="72"/>
      <c r="D17" s="73"/>
      <c r="E17" s="73">
        <f>SUM(G17:AD17)</f>
        <v>18</v>
      </c>
      <c r="F17" s="74"/>
      <c r="G17" s="72"/>
      <c r="H17" s="73">
        <v>2</v>
      </c>
      <c r="I17" s="73"/>
      <c r="J17" s="72">
        <v>2</v>
      </c>
      <c r="K17" s="75"/>
      <c r="L17" s="76">
        <v>2</v>
      </c>
      <c r="M17" s="76"/>
      <c r="N17" s="76">
        <v>2</v>
      </c>
      <c r="O17" s="76"/>
      <c r="P17" s="76">
        <v>2</v>
      </c>
      <c r="Q17" s="72"/>
      <c r="R17" s="72">
        <v>2</v>
      </c>
      <c r="S17" s="73"/>
      <c r="T17" s="73">
        <v>2</v>
      </c>
      <c r="U17" s="73"/>
      <c r="V17" s="73">
        <v>2</v>
      </c>
      <c r="W17" s="73"/>
      <c r="X17" s="73">
        <v>2</v>
      </c>
      <c r="Y17" s="73"/>
      <c r="Z17" s="73"/>
      <c r="AA17" s="73"/>
      <c r="AB17" s="73"/>
      <c r="AC17" s="73"/>
      <c r="AD17" s="73"/>
      <c r="AE17" s="77"/>
    </row>
    <row r="18" spans="1:44" s="4" customFormat="1" ht="21.75" customHeight="1" thickBot="1">
      <c r="A18" s="78"/>
      <c r="B18" s="79"/>
      <c r="C18" s="80"/>
      <c r="D18" s="81"/>
      <c r="E18" s="81"/>
      <c r="F18" s="82">
        <f>SUM(G18:AD18)</f>
        <v>0</v>
      </c>
      <c r="G18" s="80"/>
      <c r="H18" s="81"/>
      <c r="I18" s="81"/>
      <c r="J18" s="80"/>
      <c r="K18" s="80"/>
      <c r="L18" s="81"/>
      <c r="M18" s="81"/>
      <c r="N18" s="81"/>
      <c r="O18" s="81"/>
      <c r="P18" s="81"/>
      <c r="Q18" s="80"/>
      <c r="R18" s="80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2">
        <v>18</v>
      </c>
      <c r="AM18" s="11"/>
      <c r="AN18" s="11"/>
      <c r="AO18" s="11"/>
      <c r="AP18" s="11"/>
      <c r="AQ18" s="11"/>
      <c r="AR18" s="11"/>
    </row>
    <row r="19" spans="1:44" s="4" customFormat="1" ht="21.75" customHeight="1" thickBot="1">
      <c r="A19" s="161" t="s">
        <v>73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98"/>
      <c r="AM19" s="11"/>
      <c r="AN19" s="11"/>
      <c r="AO19" s="11"/>
      <c r="AP19" s="11"/>
      <c r="AQ19" s="11"/>
      <c r="AR19" s="11"/>
    </row>
    <row r="20" spans="1:44" s="4" customFormat="1" ht="19.5">
      <c r="A20" s="63">
        <v>1</v>
      </c>
      <c r="B20" s="64" t="s">
        <v>23</v>
      </c>
      <c r="C20" s="65">
        <f>SUM(D20:F22)</f>
        <v>36</v>
      </c>
      <c r="D20" s="66">
        <f>SUM(G20:AD20)</f>
        <v>18</v>
      </c>
      <c r="E20" s="66"/>
      <c r="F20" s="67"/>
      <c r="G20" s="68">
        <v>2</v>
      </c>
      <c r="H20" s="69"/>
      <c r="I20" s="69">
        <v>2</v>
      </c>
      <c r="J20" s="68"/>
      <c r="K20" s="65">
        <v>2</v>
      </c>
      <c r="L20" s="66"/>
      <c r="M20" s="66">
        <v>2</v>
      </c>
      <c r="N20" s="66"/>
      <c r="O20" s="66">
        <v>2</v>
      </c>
      <c r="P20" s="66"/>
      <c r="Q20" s="65">
        <v>2</v>
      </c>
      <c r="R20" s="65"/>
      <c r="S20" s="66">
        <v>2</v>
      </c>
      <c r="T20" s="66"/>
      <c r="U20" s="66">
        <v>2</v>
      </c>
      <c r="V20" s="66"/>
      <c r="W20" s="66">
        <v>2</v>
      </c>
      <c r="X20" s="66"/>
      <c r="Y20" s="66"/>
      <c r="Z20" s="66"/>
      <c r="AA20" s="66"/>
      <c r="AB20" s="66"/>
      <c r="AC20" s="66"/>
      <c r="AD20" s="66"/>
      <c r="AE20" s="67" t="s">
        <v>16</v>
      </c>
    </row>
    <row r="21" spans="1:44" s="4" customFormat="1" ht="19.5">
      <c r="A21" s="70"/>
      <c r="B21" s="71"/>
      <c r="C21" s="72"/>
      <c r="D21" s="73"/>
      <c r="E21" s="73">
        <f>SUM(G21:AD21)</f>
        <v>18</v>
      </c>
      <c r="F21" s="74"/>
      <c r="G21" s="72"/>
      <c r="H21" s="73">
        <v>2</v>
      </c>
      <c r="I21" s="73"/>
      <c r="J21" s="72">
        <v>2</v>
      </c>
      <c r="K21" s="75"/>
      <c r="L21" s="76">
        <v>2</v>
      </c>
      <c r="M21" s="76"/>
      <c r="N21" s="76">
        <v>2</v>
      </c>
      <c r="O21" s="76"/>
      <c r="P21" s="76">
        <v>2</v>
      </c>
      <c r="Q21" s="72"/>
      <c r="R21" s="72">
        <v>2</v>
      </c>
      <c r="S21" s="73"/>
      <c r="T21" s="73">
        <v>2</v>
      </c>
      <c r="U21" s="73"/>
      <c r="V21" s="73">
        <v>2</v>
      </c>
      <c r="W21" s="73"/>
      <c r="X21" s="73">
        <v>2</v>
      </c>
      <c r="Y21" s="73"/>
      <c r="Z21" s="73"/>
      <c r="AA21" s="73"/>
      <c r="AB21" s="73"/>
      <c r="AC21" s="73"/>
      <c r="AD21" s="73"/>
      <c r="AE21" s="77"/>
    </row>
    <row r="22" spans="1:44" s="4" customFormat="1" ht="21.75" customHeight="1" thickBot="1">
      <c r="A22" s="78"/>
      <c r="B22" s="79"/>
      <c r="C22" s="80"/>
      <c r="D22" s="81"/>
      <c r="E22" s="81"/>
      <c r="F22" s="82">
        <f>SUM(G22:AD22)</f>
        <v>0</v>
      </c>
      <c r="G22" s="80"/>
      <c r="H22" s="81"/>
      <c r="I22" s="81"/>
      <c r="J22" s="80"/>
      <c r="K22" s="80"/>
      <c r="L22" s="81"/>
      <c r="M22" s="81"/>
      <c r="N22" s="81"/>
      <c r="O22" s="81"/>
      <c r="P22" s="81"/>
      <c r="Q22" s="80"/>
      <c r="R22" s="80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2">
        <v>36</v>
      </c>
      <c r="AM22" s="11"/>
      <c r="AN22" s="11"/>
      <c r="AO22" s="11"/>
      <c r="AP22" s="11"/>
      <c r="AQ22" s="11"/>
      <c r="AR22" s="11"/>
    </row>
    <row r="23" spans="1:44" s="4" customFormat="1" ht="24.75" customHeight="1" thickBot="1">
      <c r="A23" s="161" t="s">
        <v>24</v>
      </c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98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11"/>
    </row>
    <row r="24" spans="1:44" s="4" customFormat="1" ht="19.5">
      <c r="A24" s="63">
        <v>1</v>
      </c>
      <c r="B24" s="64" t="s">
        <v>23</v>
      </c>
      <c r="C24" s="65">
        <f>SUM(D24:F26)</f>
        <v>36</v>
      </c>
      <c r="D24" s="66">
        <f>SUM(G24:X24)</f>
        <v>18</v>
      </c>
      <c r="E24" s="66"/>
      <c r="F24" s="67"/>
      <c r="G24" s="68">
        <v>2</v>
      </c>
      <c r="H24" s="69"/>
      <c r="I24" s="69">
        <v>2</v>
      </c>
      <c r="J24" s="68"/>
      <c r="K24" s="65">
        <v>2</v>
      </c>
      <c r="L24" s="66"/>
      <c r="M24" s="66">
        <v>2</v>
      </c>
      <c r="N24" s="66"/>
      <c r="O24" s="66">
        <v>2</v>
      </c>
      <c r="P24" s="66"/>
      <c r="Q24" s="65">
        <v>2</v>
      </c>
      <c r="R24" s="65"/>
      <c r="S24" s="66">
        <v>2</v>
      </c>
      <c r="T24" s="66"/>
      <c r="U24" s="66">
        <v>2</v>
      </c>
      <c r="V24" s="66"/>
      <c r="W24" s="66">
        <v>2</v>
      </c>
      <c r="X24" s="67"/>
      <c r="Y24" s="65"/>
      <c r="Z24" s="66"/>
      <c r="AA24" s="66"/>
      <c r="AB24" s="66"/>
      <c r="AC24" s="66"/>
      <c r="AD24" s="66"/>
      <c r="AE24" s="67" t="s">
        <v>17</v>
      </c>
    </row>
    <row r="25" spans="1:44" s="4" customFormat="1" ht="19.5">
      <c r="A25" s="70"/>
      <c r="B25" s="71"/>
      <c r="C25" s="72"/>
      <c r="D25" s="73"/>
      <c r="E25" s="73">
        <f>SUM(G25:X25)</f>
        <v>18</v>
      </c>
      <c r="F25" s="74"/>
      <c r="G25" s="72"/>
      <c r="H25" s="72">
        <v>2</v>
      </c>
      <c r="I25" s="72"/>
      <c r="J25" s="72">
        <v>2</v>
      </c>
      <c r="K25" s="72"/>
      <c r="L25" s="72">
        <v>2</v>
      </c>
      <c r="M25" s="72"/>
      <c r="N25" s="72">
        <v>2</v>
      </c>
      <c r="O25" s="72"/>
      <c r="P25" s="72">
        <v>2</v>
      </c>
      <c r="Q25" s="72"/>
      <c r="R25" s="72">
        <v>2</v>
      </c>
      <c r="S25" s="72"/>
      <c r="T25" s="72">
        <v>2</v>
      </c>
      <c r="U25" s="72"/>
      <c r="V25" s="72">
        <v>2</v>
      </c>
      <c r="W25" s="72"/>
      <c r="X25" s="91">
        <v>2</v>
      </c>
      <c r="Y25" s="92"/>
      <c r="Z25" s="73"/>
      <c r="AA25" s="73"/>
      <c r="AB25" s="73"/>
      <c r="AC25" s="73"/>
      <c r="AD25" s="73"/>
      <c r="AE25" s="77"/>
    </row>
    <row r="26" spans="1:44" s="4" customFormat="1" ht="21.75" customHeight="1" thickBot="1">
      <c r="A26" s="78"/>
      <c r="B26" s="79"/>
      <c r="C26" s="80"/>
      <c r="D26" s="81"/>
      <c r="E26" s="81"/>
      <c r="F26" s="82">
        <f>SUM(G26:X26)</f>
        <v>0</v>
      </c>
      <c r="G26" s="80"/>
      <c r="H26" s="81"/>
      <c r="I26" s="81"/>
      <c r="J26" s="80"/>
      <c r="K26" s="80"/>
      <c r="L26" s="81"/>
      <c r="M26" s="81"/>
      <c r="N26" s="81"/>
      <c r="O26" s="81"/>
      <c r="P26" s="81"/>
      <c r="Q26" s="80"/>
      <c r="R26" s="80"/>
      <c r="S26" s="81"/>
      <c r="T26" s="81"/>
      <c r="U26" s="81"/>
      <c r="V26" s="81"/>
      <c r="W26" s="81"/>
      <c r="X26" s="93"/>
      <c r="Y26" s="80"/>
      <c r="Z26" s="81"/>
      <c r="AA26" s="81"/>
      <c r="AB26" s="81"/>
      <c r="AC26" s="81"/>
      <c r="AD26" s="81"/>
      <c r="AE26" s="82">
        <v>9</v>
      </c>
      <c r="AM26" s="11"/>
      <c r="AN26" s="11"/>
      <c r="AO26" s="11"/>
      <c r="AP26" s="11"/>
      <c r="AQ26" s="11"/>
      <c r="AR26" s="11"/>
    </row>
    <row r="27" spans="1:44" s="4" customFormat="1" ht="19.5" thickBot="1">
      <c r="A27" s="168" t="s">
        <v>25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70"/>
    </row>
    <row r="28" spans="1:44" s="4" customFormat="1" ht="19.5">
      <c r="A28" s="63">
        <v>1</v>
      </c>
      <c r="B28" s="64" t="s">
        <v>23</v>
      </c>
      <c r="C28" s="65">
        <f>SUM(D28:F30)</f>
        <v>36</v>
      </c>
      <c r="D28" s="66">
        <f>SUM(G28:X28)</f>
        <v>18</v>
      </c>
      <c r="E28" s="66"/>
      <c r="F28" s="67"/>
      <c r="G28" s="68">
        <v>2</v>
      </c>
      <c r="H28" s="69"/>
      <c r="I28" s="69">
        <v>2</v>
      </c>
      <c r="J28" s="68"/>
      <c r="K28" s="65">
        <v>2</v>
      </c>
      <c r="L28" s="66"/>
      <c r="M28" s="66">
        <v>2</v>
      </c>
      <c r="N28" s="66"/>
      <c r="O28" s="66">
        <v>2</v>
      </c>
      <c r="P28" s="66"/>
      <c r="Q28" s="65">
        <v>2</v>
      </c>
      <c r="R28" s="65"/>
      <c r="S28" s="66">
        <v>2</v>
      </c>
      <c r="T28" s="66"/>
      <c r="U28" s="66">
        <v>2</v>
      </c>
      <c r="V28" s="66"/>
      <c r="W28" s="66">
        <v>2</v>
      </c>
      <c r="X28" s="67"/>
      <c r="Y28" s="65"/>
      <c r="Z28" s="66"/>
      <c r="AA28" s="66"/>
      <c r="AB28" s="66"/>
      <c r="AC28" s="66"/>
      <c r="AD28" s="66"/>
      <c r="AE28" s="67" t="s">
        <v>17</v>
      </c>
    </row>
    <row r="29" spans="1:44" s="4" customFormat="1" ht="19.5">
      <c r="A29" s="70"/>
      <c r="B29" s="71"/>
      <c r="C29" s="72"/>
      <c r="D29" s="73"/>
      <c r="E29" s="73">
        <f>SUM(G29:X29)</f>
        <v>18</v>
      </c>
      <c r="F29" s="74"/>
      <c r="G29" s="72"/>
      <c r="H29" s="72">
        <v>2</v>
      </c>
      <c r="I29" s="72"/>
      <c r="J29" s="72">
        <v>2</v>
      </c>
      <c r="K29" s="72"/>
      <c r="L29" s="72">
        <v>2</v>
      </c>
      <c r="M29" s="72"/>
      <c r="N29" s="72">
        <v>2</v>
      </c>
      <c r="O29" s="72"/>
      <c r="P29" s="72">
        <v>2</v>
      </c>
      <c r="Q29" s="72"/>
      <c r="R29" s="72">
        <v>2</v>
      </c>
      <c r="S29" s="72"/>
      <c r="T29" s="72">
        <v>2</v>
      </c>
      <c r="U29" s="72"/>
      <c r="V29" s="72">
        <v>2</v>
      </c>
      <c r="W29" s="72"/>
      <c r="X29" s="72">
        <v>2</v>
      </c>
      <c r="Y29" s="92"/>
      <c r="Z29" s="73"/>
      <c r="AA29" s="73"/>
      <c r="AB29" s="73"/>
      <c r="AC29" s="73"/>
      <c r="AD29" s="73"/>
      <c r="AE29" s="77"/>
    </row>
    <row r="30" spans="1:44" s="4" customFormat="1" ht="21.75" customHeight="1" thickBot="1">
      <c r="A30" s="78"/>
      <c r="B30" s="79"/>
      <c r="C30" s="80"/>
      <c r="D30" s="81"/>
      <c r="E30" s="81"/>
      <c r="F30" s="82">
        <f>SUM(G30:X30)</f>
        <v>0</v>
      </c>
      <c r="G30" s="80"/>
      <c r="H30" s="81"/>
      <c r="I30" s="81"/>
      <c r="J30" s="80"/>
      <c r="K30" s="80"/>
      <c r="L30" s="81"/>
      <c r="M30" s="81"/>
      <c r="N30" s="81"/>
      <c r="O30" s="81"/>
      <c r="P30" s="81"/>
      <c r="Q30" s="80"/>
      <c r="R30" s="80"/>
      <c r="S30" s="81"/>
      <c r="T30" s="81"/>
      <c r="U30" s="81"/>
      <c r="V30" s="81"/>
      <c r="W30" s="81"/>
      <c r="X30" s="93"/>
      <c r="Y30" s="80"/>
      <c r="Z30" s="81"/>
      <c r="AA30" s="81"/>
      <c r="AB30" s="81"/>
      <c r="AC30" s="81"/>
      <c r="AD30" s="81"/>
      <c r="AE30" s="82">
        <v>18</v>
      </c>
      <c r="AM30" s="11"/>
      <c r="AN30" s="11"/>
      <c r="AO30" s="11"/>
      <c r="AP30" s="11"/>
      <c r="AQ30" s="11"/>
      <c r="AR30" s="11"/>
    </row>
    <row r="31" spans="1:44" s="4" customFormat="1" ht="19.5" thickBot="1">
      <c r="A31" s="168" t="s">
        <v>61</v>
      </c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70"/>
    </row>
    <row r="32" spans="1:44" s="4" customFormat="1" ht="19.5">
      <c r="A32" s="63">
        <v>1</v>
      </c>
      <c r="B32" s="64" t="s">
        <v>23</v>
      </c>
      <c r="C32" s="65">
        <f>SUM(D32:F34)</f>
        <v>54</v>
      </c>
      <c r="D32" s="66">
        <f>SUM(G32:X32)</f>
        <v>18</v>
      </c>
      <c r="E32" s="66"/>
      <c r="F32" s="67"/>
      <c r="G32" s="68">
        <v>2</v>
      </c>
      <c r="H32" s="69"/>
      <c r="I32" s="69">
        <v>2</v>
      </c>
      <c r="J32" s="68"/>
      <c r="K32" s="65">
        <v>2</v>
      </c>
      <c r="L32" s="66"/>
      <c r="M32" s="66">
        <v>2</v>
      </c>
      <c r="N32" s="66"/>
      <c r="O32" s="66">
        <v>2</v>
      </c>
      <c r="P32" s="66"/>
      <c r="Q32" s="65">
        <v>2</v>
      </c>
      <c r="R32" s="65"/>
      <c r="S32" s="66">
        <v>2</v>
      </c>
      <c r="T32" s="66"/>
      <c r="U32" s="66">
        <v>2</v>
      </c>
      <c r="V32" s="66"/>
      <c r="W32" s="66">
        <v>2</v>
      </c>
      <c r="X32" s="67"/>
      <c r="Y32" s="65"/>
      <c r="Z32" s="66"/>
      <c r="AA32" s="66"/>
      <c r="AB32" s="66"/>
      <c r="AC32" s="66"/>
      <c r="AD32" s="66"/>
      <c r="AE32" s="67" t="s">
        <v>17</v>
      </c>
    </row>
    <row r="33" spans="1:63" s="4" customFormat="1" ht="19.5">
      <c r="A33" s="70"/>
      <c r="B33" s="71"/>
      <c r="C33" s="72"/>
      <c r="D33" s="73"/>
      <c r="E33" s="73">
        <f>SUM(G33:X33)</f>
        <v>36</v>
      </c>
      <c r="F33" s="74"/>
      <c r="G33" s="72">
        <v>2</v>
      </c>
      <c r="H33" s="72">
        <v>2</v>
      </c>
      <c r="I33" s="72">
        <v>2</v>
      </c>
      <c r="J33" s="72">
        <v>2</v>
      </c>
      <c r="K33" s="72">
        <v>2</v>
      </c>
      <c r="L33" s="72">
        <v>2</v>
      </c>
      <c r="M33" s="72">
        <v>2</v>
      </c>
      <c r="N33" s="72">
        <v>2</v>
      </c>
      <c r="O33" s="72">
        <v>2</v>
      </c>
      <c r="P33" s="72">
        <v>2</v>
      </c>
      <c r="Q33" s="72">
        <v>2</v>
      </c>
      <c r="R33" s="72">
        <v>2</v>
      </c>
      <c r="S33" s="72">
        <v>2</v>
      </c>
      <c r="T33" s="72">
        <v>2</v>
      </c>
      <c r="U33" s="72">
        <v>2</v>
      </c>
      <c r="V33" s="72">
        <v>2</v>
      </c>
      <c r="W33" s="72">
        <v>2</v>
      </c>
      <c r="X33" s="91">
        <v>2</v>
      </c>
      <c r="Y33" s="92"/>
      <c r="Z33" s="73"/>
      <c r="AA33" s="73"/>
      <c r="AB33" s="73"/>
      <c r="AC33" s="73"/>
      <c r="AD33" s="73"/>
      <c r="AE33" s="77"/>
    </row>
    <row r="34" spans="1:63" s="4" customFormat="1" ht="21.75" customHeight="1" thickBot="1">
      <c r="A34" s="78"/>
      <c r="B34" s="79"/>
      <c r="C34" s="80"/>
      <c r="D34" s="81"/>
      <c r="E34" s="81"/>
      <c r="F34" s="82">
        <f>SUM(G34:X34)</f>
        <v>0</v>
      </c>
      <c r="G34" s="80"/>
      <c r="H34" s="81"/>
      <c r="I34" s="81"/>
      <c r="J34" s="80"/>
      <c r="K34" s="80"/>
      <c r="L34" s="81"/>
      <c r="M34" s="81"/>
      <c r="N34" s="81"/>
      <c r="O34" s="81"/>
      <c r="P34" s="81"/>
      <c r="Q34" s="80"/>
      <c r="R34" s="80"/>
      <c r="S34" s="81"/>
      <c r="T34" s="81"/>
      <c r="U34" s="81"/>
      <c r="V34" s="81"/>
      <c r="W34" s="81"/>
      <c r="X34" s="93"/>
      <c r="Y34" s="80"/>
      <c r="Z34" s="81"/>
      <c r="AA34" s="81"/>
      <c r="AB34" s="81"/>
      <c r="AC34" s="81"/>
      <c r="AD34" s="81"/>
      <c r="AE34" s="82">
        <v>18</v>
      </c>
      <c r="AM34" s="11"/>
      <c r="AN34" s="11"/>
      <c r="AO34" s="11"/>
      <c r="AP34" s="11"/>
      <c r="AQ34" s="11"/>
      <c r="AR34" s="11"/>
    </row>
    <row r="35" spans="1:63" s="4" customFormat="1" ht="21.75" customHeight="1" thickBot="1">
      <c r="A35" s="168" t="s">
        <v>62</v>
      </c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70"/>
      <c r="AM35" s="11"/>
      <c r="AN35" s="11"/>
      <c r="AO35" s="11"/>
      <c r="AP35" s="11"/>
      <c r="AQ35" s="11"/>
      <c r="AR35" s="11"/>
    </row>
    <row r="36" spans="1:63" s="4" customFormat="1" ht="19.5">
      <c r="A36" s="63">
        <v>1</v>
      </c>
      <c r="B36" s="64" t="s">
        <v>23</v>
      </c>
      <c r="C36" s="65">
        <f>SUM(D36:F38)</f>
        <v>54</v>
      </c>
      <c r="D36" s="66">
        <f>SUM(G36:X36)</f>
        <v>18</v>
      </c>
      <c r="E36" s="66"/>
      <c r="F36" s="67"/>
      <c r="G36" s="68">
        <v>2</v>
      </c>
      <c r="H36" s="69"/>
      <c r="I36" s="69">
        <v>2</v>
      </c>
      <c r="J36" s="68"/>
      <c r="K36" s="65">
        <v>2</v>
      </c>
      <c r="L36" s="66"/>
      <c r="M36" s="66">
        <v>2</v>
      </c>
      <c r="N36" s="66"/>
      <c r="O36" s="66">
        <v>2</v>
      </c>
      <c r="P36" s="66"/>
      <c r="Q36" s="65">
        <v>2</v>
      </c>
      <c r="R36" s="65"/>
      <c r="S36" s="66">
        <v>2</v>
      </c>
      <c r="T36" s="66"/>
      <c r="U36" s="66">
        <v>2</v>
      </c>
      <c r="V36" s="66"/>
      <c r="W36" s="66">
        <v>2</v>
      </c>
      <c r="X36" s="67"/>
      <c r="Y36" s="65"/>
      <c r="Z36" s="66"/>
      <c r="AA36" s="66"/>
      <c r="AB36" s="66"/>
      <c r="AC36" s="66"/>
      <c r="AD36" s="66"/>
      <c r="AE36" s="67" t="s">
        <v>16</v>
      </c>
    </row>
    <row r="37" spans="1:63" s="4" customFormat="1" ht="19.5">
      <c r="A37" s="70"/>
      <c r="B37" s="71"/>
      <c r="C37" s="72"/>
      <c r="D37" s="73"/>
      <c r="E37" s="73">
        <f>SUM(G37:X37)</f>
        <v>36</v>
      </c>
      <c r="F37" s="74"/>
      <c r="G37" s="72">
        <v>2</v>
      </c>
      <c r="H37" s="72">
        <v>2</v>
      </c>
      <c r="I37" s="72">
        <v>2</v>
      </c>
      <c r="J37" s="72">
        <v>2</v>
      </c>
      <c r="K37" s="72">
        <v>2</v>
      </c>
      <c r="L37" s="72">
        <v>2</v>
      </c>
      <c r="M37" s="72">
        <v>2</v>
      </c>
      <c r="N37" s="72">
        <v>2</v>
      </c>
      <c r="O37" s="72">
        <v>2</v>
      </c>
      <c r="P37" s="72">
        <v>2</v>
      </c>
      <c r="Q37" s="72">
        <v>2</v>
      </c>
      <c r="R37" s="72">
        <v>2</v>
      </c>
      <c r="S37" s="72">
        <v>2</v>
      </c>
      <c r="T37" s="72">
        <v>2</v>
      </c>
      <c r="U37" s="72">
        <v>2</v>
      </c>
      <c r="V37" s="72">
        <v>2</v>
      </c>
      <c r="W37" s="72">
        <v>2</v>
      </c>
      <c r="X37" s="91">
        <v>2</v>
      </c>
      <c r="Y37" s="92"/>
      <c r="Z37" s="73"/>
      <c r="AA37" s="73"/>
      <c r="AB37" s="73"/>
      <c r="AC37" s="73"/>
      <c r="AD37" s="73"/>
      <c r="AE37" s="77"/>
    </row>
    <row r="38" spans="1:63" s="4" customFormat="1" ht="21.75" customHeight="1" thickBot="1">
      <c r="A38" s="78"/>
      <c r="B38" s="79"/>
      <c r="C38" s="80"/>
      <c r="D38" s="81"/>
      <c r="E38" s="81"/>
      <c r="F38" s="82">
        <f>SUM(G38:X38)</f>
        <v>0</v>
      </c>
      <c r="G38" s="80"/>
      <c r="H38" s="81"/>
      <c r="I38" s="81"/>
      <c r="J38" s="80"/>
      <c r="K38" s="80"/>
      <c r="L38" s="81"/>
      <c r="M38" s="81"/>
      <c r="N38" s="81"/>
      <c r="O38" s="81"/>
      <c r="P38" s="81"/>
      <c r="Q38" s="80"/>
      <c r="R38" s="80"/>
      <c r="S38" s="81"/>
      <c r="T38" s="81"/>
      <c r="U38" s="81"/>
      <c r="V38" s="81"/>
      <c r="W38" s="81"/>
      <c r="X38" s="93"/>
      <c r="Y38" s="80"/>
      <c r="Z38" s="81"/>
      <c r="AA38" s="81"/>
      <c r="AB38" s="81"/>
      <c r="AC38" s="81"/>
      <c r="AD38" s="81"/>
      <c r="AE38" s="82">
        <v>36</v>
      </c>
      <c r="AM38" s="11"/>
      <c r="AN38" s="11"/>
      <c r="AO38" s="11"/>
      <c r="AP38" s="11"/>
      <c r="AQ38" s="11"/>
      <c r="AR38" s="11"/>
    </row>
    <row r="39" spans="1:63" s="4" customFormat="1" ht="19.5" thickBot="1">
      <c r="A39" s="168" t="s">
        <v>27</v>
      </c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70"/>
      <c r="AM39" s="11"/>
      <c r="AN39" s="11"/>
      <c r="AO39" s="11"/>
      <c r="AP39" s="11"/>
      <c r="AQ39" s="11"/>
      <c r="AR39" s="11"/>
    </row>
    <row r="40" spans="1:63" s="4" customFormat="1" ht="37.5">
      <c r="A40" s="63">
        <v>1</v>
      </c>
      <c r="B40" s="64" t="s">
        <v>26</v>
      </c>
      <c r="C40" s="65">
        <f>SUM(D40:F42)</f>
        <v>36</v>
      </c>
      <c r="D40" s="66">
        <f>SUM(G40:X40)</f>
        <v>18</v>
      </c>
      <c r="E40" s="66"/>
      <c r="F40" s="67"/>
      <c r="G40" s="68">
        <v>2</v>
      </c>
      <c r="H40" s="69"/>
      <c r="I40" s="69">
        <v>2</v>
      </c>
      <c r="J40" s="68"/>
      <c r="K40" s="65">
        <v>2</v>
      </c>
      <c r="L40" s="66"/>
      <c r="M40" s="66">
        <v>2</v>
      </c>
      <c r="N40" s="66"/>
      <c r="O40" s="66">
        <v>2</v>
      </c>
      <c r="P40" s="66"/>
      <c r="Q40" s="65">
        <v>2</v>
      </c>
      <c r="R40" s="65"/>
      <c r="S40" s="66">
        <v>2</v>
      </c>
      <c r="T40" s="66"/>
      <c r="U40" s="66">
        <v>2</v>
      </c>
      <c r="V40" s="66"/>
      <c r="W40" s="66">
        <v>2</v>
      </c>
      <c r="X40" s="67"/>
      <c r="Y40" s="65"/>
      <c r="Z40" s="66"/>
      <c r="AA40" s="66"/>
      <c r="AB40" s="66"/>
      <c r="AC40" s="66"/>
      <c r="AD40" s="66"/>
      <c r="AE40" s="67" t="s">
        <v>17</v>
      </c>
    </row>
    <row r="41" spans="1:63" s="4" customFormat="1" ht="19.5">
      <c r="A41" s="70"/>
      <c r="B41" s="71"/>
      <c r="C41" s="72"/>
      <c r="D41" s="73"/>
      <c r="E41" s="73">
        <f>SUM(G41:X41)</f>
        <v>18</v>
      </c>
      <c r="F41" s="74"/>
      <c r="G41" s="72"/>
      <c r="H41" s="72">
        <v>2</v>
      </c>
      <c r="I41" s="72"/>
      <c r="J41" s="72">
        <v>2</v>
      </c>
      <c r="K41" s="72"/>
      <c r="L41" s="72">
        <v>2</v>
      </c>
      <c r="M41" s="72"/>
      <c r="N41" s="72">
        <v>2</v>
      </c>
      <c r="O41" s="72"/>
      <c r="P41" s="72">
        <v>2</v>
      </c>
      <c r="Q41" s="72"/>
      <c r="R41" s="72">
        <v>2</v>
      </c>
      <c r="S41" s="72"/>
      <c r="T41" s="72">
        <v>2</v>
      </c>
      <c r="U41" s="72"/>
      <c r="V41" s="72">
        <v>2</v>
      </c>
      <c r="W41" s="72"/>
      <c r="X41" s="91">
        <v>2</v>
      </c>
      <c r="Y41" s="92"/>
      <c r="Z41" s="73"/>
      <c r="AA41" s="73"/>
      <c r="AB41" s="73"/>
      <c r="AC41" s="73"/>
      <c r="AD41" s="73"/>
      <c r="AE41" s="77"/>
    </row>
    <row r="42" spans="1:63" s="4" customFormat="1" ht="21.75" customHeight="1" thickBot="1">
      <c r="A42" s="78"/>
      <c r="B42" s="79"/>
      <c r="C42" s="80"/>
      <c r="D42" s="81"/>
      <c r="E42" s="81"/>
      <c r="F42" s="82">
        <f>SUM(G42:X42)</f>
        <v>0</v>
      </c>
      <c r="G42" s="80"/>
      <c r="H42" s="81"/>
      <c r="I42" s="81"/>
      <c r="J42" s="80"/>
      <c r="K42" s="80"/>
      <c r="L42" s="81"/>
      <c r="M42" s="81"/>
      <c r="N42" s="81"/>
      <c r="O42" s="81"/>
      <c r="P42" s="81"/>
      <c r="Q42" s="80"/>
      <c r="R42" s="80"/>
      <c r="S42" s="81"/>
      <c r="T42" s="81"/>
      <c r="U42" s="81"/>
      <c r="V42" s="81"/>
      <c r="W42" s="81"/>
      <c r="X42" s="93"/>
      <c r="Y42" s="80"/>
      <c r="Z42" s="81"/>
      <c r="AA42" s="81"/>
      <c r="AB42" s="81"/>
      <c r="AC42" s="81"/>
      <c r="AD42" s="81"/>
      <c r="AE42" s="82">
        <v>9</v>
      </c>
      <c r="AM42" s="11"/>
      <c r="AN42" s="11"/>
      <c r="AO42" s="11"/>
      <c r="AP42" s="11"/>
      <c r="AQ42" s="11"/>
      <c r="AR42" s="11"/>
    </row>
    <row r="43" spans="1:63" s="4" customFormat="1" ht="19.5" thickBot="1">
      <c r="A43" s="168" t="s">
        <v>30</v>
      </c>
      <c r="B43" s="169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70"/>
      <c r="AH43" s="160"/>
      <c r="AI43" s="160"/>
      <c r="AJ43" s="160"/>
      <c r="AK43" s="160"/>
      <c r="AL43" s="160"/>
      <c r="AM43" s="160"/>
      <c r="AN43" s="160"/>
      <c r="AO43" s="160"/>
      <c r="AP43" s="160"/>
      <c r="AQ43" s="160"/>
      <c r="AR43" s="160"/>
      <c r="AS43" s="160"/>
      <c r="AT43" s="160"/>
      <c r="AU43" s="160"/>
      <c r="AV43" s="160"/>
      <c r="AW43" s="160"/>
      <c r="AX43" s="160"/>
      <c r="AY43" s="160"/>
      <c r="AZ43" s="160"/>
      <c r="BA43" s="160"/>
      <c r="BB43" s="160"/>
      <c r="BC43" s="160"/>
      <c r="BD43" s="160"/>
      <c r="BE43" s="160"/>
      <c r="BF43" s="160"/>
      <c r="BG43" s="160"/>
      <c r="BH43" s="160"/>
      <c r="BI43" s="160"/>
      <c r="BJ43" s="160"/>
      <c r="BK43" s="160"/>
    </row>
    <row r="44" spans="1:63" s="4" customFormat="1" ht="37.5">
      <c r="A44" s="63">
        <v>1</v>
      </c>
      <c r="B44" s="64" t="s">
        <v>28</v>
      </c>
      <c r="C44" s="65">
        <f>SUM(D44:F46)</f>
        <v>36</v>
      </c>
      <c r="D44" s="66">
        <f>SUM(G44:X44)</f>
        <v>18</v>
      </c>
      <c r="E44" s="66"/>
      <c r="F44" s="67"/>
      <c r="G44" s="68">
        <v>2</v>
      </c>
      <c r="H44" s="69"/>
      <c r="I44" s="69">
        <v>2</v>
      </c>
      <c r="J44" s="68"/>
      <c r="K44" s="65">
        <v>2</v>
      </c>
      <c r="L44" s="66"/>
      <c r="M44" s="66">
        <v>2</v>
      </c>
      <c r="N44" s="66"/>
      <c r="O44" s="66">
        <v>2</v>
      </c>
      <c r="P44" s="66"/>
      <c r="Q44" s="65">
        <v>2</v>
      </c>
      <c r="R44" s="65"/>
      <c r="S44" s="66">
        <v>2</v>
      </c>
      <c r="T44" s="66"/>
      <c r="U44" s="66">
        <v>2</v>
      </c>
      <c r="V44" s="66"/>
      <c r="W44" s="66">
        <v>2</v>
      </c>
      <c r="X44" s="67"/>
      <c r="Y44" s="65"/>
      <c r="Z44" s="66"/>
      <c r="AA44" s="66"/>
      <c r="AB44" s="66"/>
      <c r="AC44" s="66"/>
      <c r="AD44" s="66"/>
      <c r="AE44" s="67" t="s">
        <v>15</v>
      </c>
    </row>
    <row r="45" spans="1:63" s="4" customFormat="1" ht="19.5">
      <c r="A45" s="70"/>
      <c r="B45" s="71"/>
      <c r="C45" s="72"/>
      <c r="D45" s="73"/>
      <c r="E45" s="73">
        <f>SUM(G45:X45)</f>
        <v>18</v>
      </c>
      <c r="F45" s="74"/>
      <c r="G45" s="72"/>
      <c r="H45" s="72">
        <v>2</v>
      </c>
      <c r="I45" s="72"/>
      <c r="J45" s="72">
        <v>2</v>
      </c>
      <c r="K45" s="72"/>
      <c r="L45" s="72">
        <v>2</v>
      </c>
      <c r="M45" s="72"/>
      <c r="N45" s="72">
        <v>2</v>
      </c>
      <c r="O45" s="72"/>
      <c r="P45" s="72">
        <v>2</v>
      </c>
      <c r="Q45" s="72"/>
      <c r="R45" s="72">
        <v>2</v>
      </c>
      <c r="S45" s="72"/>
      <c r="T45" s="72">
        <v>2</v>
      </c>
      <c r="U45" s="72"/>
      <c r="V45" s="72">
        <v>2</v>
      </c>
      <c r="W45" s="72"/>
      <c r="X45" s="74">
        <v>2</v>
      </c>
      <c r="Y45" s="72"/>
      <c r="Z45" s="73"/>
      <c r="AA45" s="73"/>
      <c r="AB45" s="73"/>
      <c r="AC45" s="73"/>
      <c r="AD45" s="73"/>
      <c r="AE45" s="77"/>
    </row>
    <row r="46" spans="1:63" s="4" customFormat="1" ht="21.75" customHeight="1" thickBot="1">
      <c r="A46" s="78"/>
      <c r="B46" s="79"/>
      <c r="C46" s="80"/>
      <c r="D46" s="81"/>
      <c r="E46" s="81"/>
      <c r="F46" s="82">
        <f>SUM(G46:X46)</f>
        <v>0</v>
      </c>
      <c r="G46" s="80"/>
      <c r="H46" s="81"/>
      <c r="I46" s="81"/>
      <c r="J46" s="80"/>
      <c r="K46" s="80"/>
      <c r="L46" s="81"/>
      <c r="M46" s="81"/>
      <c r="N46" s="81"/>
      <c r="O46" s="81"/>
      <c r="P46" s="81"/>
      <c r="Q46" s="80"/>
      <c r="R46" s="80"/>
      <c r="S46" s="81"/>
      <c r="T46" s="81"/>
      <c r="U46" s="81"/>
      <c r="V46" s="81"/>
      <c r="W46" s="81"/>
      <c r="X46" s="93"/>
      <c r="Y46" s="80"/>
      <c r="Z46" s="81"/>
      <c r="AA46" s="81"/>
      <c r="AB46" s="81"/>
      <c r="AC46" s="81"/>
      <c r="AD46" s="81"/>
      <c r="AE46" s="82">
        <v>9</v>
      </c>
      <c r="AM46" s="11"/>
      <c r="AN46" s="11"/>
      <c r="AO46" s="11"/>
      <c r="AP46" s="11"/>
      <c r="AQ46" s="11"/>
      <c r="AR46" s="11"/>
    </row>
    <row r="47" spans="1:63" s="4" customFormat="1" ht="19.5">
      <c r="A47" s="83">
        <v>1</v>
      </c>
      <c r="B47" s="84" t="s">
        <v>23</v>
      </c>
      <c r="C47" s="65">
        <f t="shared" ref="C47" si="0">SUM(D47:F49)</f>
        <v>54</v>
      </c>
      <c r="D47" s="66">
        <f t="shared" ref="D47" si="1">SUM(G47:X47)</f>
        <v>18</v>
      </c>
      <c r="E47" s="66"/>
      <c r="F47" s="67"/>
      <c r="G47" s="68">
        <v>2</v>
      </c>
      <c r="H47" s="69"/>
      <c r="I47" s="69">
        <v>2</v>
      </c>
      <c r="J47" s="68"/>
      <c r="K47" s="65">
        <v>2</v>
      </c>
      <c r="L47" s="66"/>
      <c r="M47" s="66">
        <v>2</v>
      </c>
      <c r="N47" s="66"/>
      <c r="O47" s="66">
        <v>2</v>
      </c>
      <c r="P47" s="66"/>
      <c r="Q47" s="65">
        <v>2</v>
      </c>
      <c r="R47" s="65"/>
      <c r="S47" s="66">
        <v>2</v>
      </c>
      <c r="T47" s="66"/>
      <c r="U47" s="66">
        <v>2</v>
      </c>
      <c r="V47" s="66"/>
      <c r="W47" s="66">
        <v>2</v>
      </c>
      <c r="X47" s="67"/>
      <c r="Y47" s="65"/>
      <c r="Z47" s="66"/>
      <c r="AA47" s="66"/>
      <c r="AB47" s="66"/>
      <c r="AC47" s="66"/>
      <c r="AD47" s="66"/>
      <c r="AE47" s="67" t="s">
        <v>29</v>
      </c>
      <c r="AM47" s="11"/>
      <c r="AN47" s="11"/>
      <c r="AO47" s="11"/>
      <c r="AP47" s="11"/>
      <c r="AQ47" s="11"/>
      <c r="AR47" s="11"/>
    </row>
    <row r="48" spans="1:63" s="4" customFormat="1">
      <c r="A48" s="85"/>
      <c r="B48" s="86"/>
      <c r="C48" s="72"/>
      <c r="D48" s="73"/>
      <c r="E48" s="73">
        <f t="shared" ref="E48" si="2">SUM(G48:X48)</f>
        <v>36</v>
      </c>
      <c r="F48" s="74"/>
      <c r="G48" s="72">
        <v>2</v>
      </c>
      <c r="H48" s="72">
        <v>2</v>
      </c>
      <c r="I48" s="72">
        <v>2</v>
      </c>
      <c r="J48" s="72">
        <v>2</v>
      </c>
      <c r="K48" s="72">
        <v>2</v>
      </c>
      <c r="L48" s="72">
        <v>2</v>
      </c>
      <c r="M48" s="72">
        <v>2</v>
      </c>
      <c r="N48" s="72">
        <v>2</v>
      </c>
      <c r="O48" s="72">
        <v>2</v>
      </c>
      <c r="P48" s="72">
        <v>2</v>
      </c>
      <c r="Q48" s="72">
        <v>2</v>
      </c>
      <c r="R48" s="72">
        <v>2</v>
      </c>
      <c r="S48" s="72">
        <v>2</v>
      </c>
      <c r="T48" s="72">
        <v>2</v>
      </c>
      <c r="U48" s="72">
        <v>2</v>
      </c>
      <c r="V48" s="72">
        <v>2</v>
      </c>
      <c r="W48" s="72">
        <v>2</v>
      </c>
      <c r="X48" s="74">
        <v>2</v>
      </c>
      <c r="Y48" s="72"/>
      <c r="Z48" s="73"/>
      <c r="AA48" s="73"/>
      <c r="AB48" s="73"/>
      <c r="AC48" s="73"/>
      <c r="AD48" s="73"/>
      <c r="AE48" s="77"/>
      <c r="AM48" s="12"/>
      <c r="AN48" s="101"/>
      <c r="AO48" s="167"/>
      <c r="AP48" s="167"/>
      <c r="AQ48" s="11"/>
      <c r="AR48" s="11"/>
    </row>
    <row r="49" spans="1:44" s="4" customFormat="1" ht="19.5" thickBot="1">
      <c r="A49" s="103"/>
      <c r="B49" s="90"/>
      <c r="C49" s="80"/>
      <c r="D49" s="81"/>
      <c r="E49" s="81"/>
      <c r="F49" s="82">
        <f t="shared" ref="F49" si="3">SUM(G49:X49)</f>
        <v>0</v>
      </c>
      <c r="G49" s="87"/>
      <c r="H49" s="88"/>
      <c r="I49" s="87"/>
      <c r="J49" s="80"/>
      <c r="K49" s="87"/>
      <c r="L49" s="102"/>
      <c r="M49" s="102"/>
      <c r="N49" s="102"/>
      <c r="O49" s="102"/>
      <c r="P49" s="102"/>
      <c r="Q49" s="100"/>
      <c r="R49" s="100"/>
      <c r="S49" s="102"/>
      <c r="T49" s="102"/>
      <c r="U49" s="102"/>
      <c r="V49" s="102"/>
      <c r="W49" s="102"/>
      <c r="X49" s="93"/>
      <c r="Y49" s="100"/>
      <c r="Z49" s="102"/>
      <c r="AA49" s="102"/>
      <c r="AB49" s="102"/>
      <c r="AC49" s="102"/>
      <c r="AD49" s="102"/>
      <c r="AE49" s="99">
        <v>18</v>
      </c>
      <c r="AM49" s="12"/>
      <c r="AN49" s="101"/>
      <c r="AO49" s="167"/>
      <c r="AP49" s="167"/>
      <c r="AQ49" s="11"/>
      <c r="AR49" s="11"/>
    </row>
    <row r="50" spans="1:44" s="4" customFormat="1" ht="19.5" thickBot="1">
      <c r="A50" s="168" t="s">
        <v>31</v>
      </c>
      <c r="B50" s="169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70"/>
      <c r="AM50" s="12"/>
      <c r="AN50" s="13"/>
      <c r="AO50" s="167"/>
      <c r="AP50" s="167"/>
      <c r="AQ50" s="11"/>
      <c r="AR50" s="11"/>
    </row>
    <row r="51" spans="1:44" s="4" customFormat="1" ht="19.5">
      <c r="A51" s="63">
        <v>1</v>
      </c>
      <c r="B51" s="64" t="s">
        <v>23</v>
      </c>
      <c r="C51" s="65">
        <f>SUM(D51:F53)</f>
        <v>36</v>
      </c>
      <c r="D51" s="66">
        <f>SUM(G51:X51)</f>
        <v>18</v>
      </c>
      <c r="E51" s="66"/>
      <c r="F51" s="67"/>
      <c r="G51" s="68">
        <v>2</v>
      </c>
      <c r="H51" s="69"/>
      <c r="I51" s="69">
        <v>2</v>
      </c>
      <c r="J51" s="68"/>
      <c r="K51" s="65">
        <v>2</v>
      </c>
      <c r="L51" s="66"/>
      <c r="M51" s="66">
        <v>2</v>
      </c>
      <c r="N51" s="66"/>
      <c r="O51" s="66">
        <v>2</v>
      </c>
      <c r="P51" s="66"/>
      <c r="Q51" s="65">
        <v>2</v>
      </c>
      <c r="R51" s="65"/>
      <c r="S51" s="66">
        <v>2</v>
      </c>
      <c r="T51" s="66"/>
      <c r="U51" s="66">
        <v>2</v>
      </c>
      <c r="V51" s="66"/>
      <c r="W51" s="66">
        <v>2</v>
      </c>
      <c r="X51" s="67"/>
      <c r="Y51" s="65"/>
      <c r="Z51" s="66"/>
      <c r="AA51" s="66"/>
      <c r="AB51" s="66"/>
      <c r="AC51" s="66"/>
      <c r="AD51" s="66"/>
      <c r="AE51" s="67" t="s">
        <v>17</v>
      </c>
    </row>
    <row r="52" spans="1:44" s="4" customFormat="1" ht="19.5">
      <c r="A52" s="70"/>
      <c r="B52" s="71"/>
      <c r="C52" s="72"/>
      <c r="D52" s="73"/>
      <c r="E52" s="73">
        <f>SUM(G52:X52)</f>
        <v>18</v>
      </c>
      <c r="F52" s="74"/>
      <c r="G52" s="72"/>
      <c r="H52" s="72">
        <v>2</v>
      </c>
      <c r="I52" s="72"/>
      <c r="J52" s="72">
        <v>2</v>
      </c>
      <c r="K52" s="72"/>
      <c r="L52" s="72">
        <v>2</v>
      </c>
      <c r="M52" s="72"/>
      <c r="N52" s="72">
        <v>2</v>
      </c>
      <c r="O52" s="72"/>
      <c r="P52" s="72">
        <v>2</v>
      </c>
      <c r="Q52" s="72"/>
      <c r="R52" s="72">
        <v>2</v>
      </c>
      <c r="S52" s="72"/>
      <c r="T52" s="72">
        <v>2</v>
      </c>
      <c r="U52" s="72"/>
      <c r="V52" s="72">
        <v>2</v>
      </c>
      <c r="W52" s="72"/>
      <c r="X52" s="91">
        <v>2</v>
      </c>
      <c r="Y52" s="92"/>
      <c r="Z52" s="73"/>
      <c r="AA52" s="73"/>
      <c r="AB52" s="73"/>
      <c r="AC52" s="73"/>
      <c r="AD52" s="73"/>
      <c r="AE52" s="77"/>
    </row>
    <row r="53" spans="1:44" s="4" customFormat="1" ht="21.75" customHeight="1" thickBot="1">
      <c r="A53" s="78"/>
      <c r="B53" s="79"/>
      <c r="C53" s="80"/>
      <c r="D53" s="81"/>
      <c r="E53" s="81"/>
      <c r="F53" s="82">
        <f>SUM(G53:X53)</f>
        <v>0</v>
      </c>
      <c r="G53" s="80"/>
      <c r="H53" s="81"/>
      <c r="I53" s="81"/>
      <c r="J53" s="80"/>
      <c r="K53" s="80"/>
      <c r="L53" s="81"/>
      <c r="M53" s="81"/>
      <c r="N53" s="81"/>
      <c r="O53" s="81"/>
      <c r="P53" s="81"/>
      <c r="Q53" s="80"/>
      <c r="R53" s="80"/>
      <c r="S53" s="81"/>
      <c r="T53" s="81"/>
      <c r="U53" s="81"/>
      <c r="V53" s="81"/>
      <c r="W53" s="81"/>
      <c r="X53" s="93"/>
      <c r="Y53" s="80"/>
      <c r="Z53" s="81"/>
      <c r="AA53" s="81"/>
      <c r="AB53" s="81"/>
      <c r="AC53" s="81"/>
      <c r="AD53" s="81"/>
      <c r="AE53" s="82">
        <v>9</v>
      </c>
      <c r="AM53" s="11"/>
      <c r="AN53" s="11"/>
      <c r="AO53" s="11"/>
      <c r="AP53" s="11"/>
      <c r="AQ53" s="11"/>
      <c r="AR53" s="11"/>
    </row>
    <row r="54" spans="1:44" s="4" customFormat="1" ht="19.5" thickBot="1">
      <c r="A54" s="168" t="s">
        <v>32</v>
      </c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70"/>
    </row>
    <row r="55" spans="1:44" s="4" customFormat="1" ht="19.5">
      <c r="A55" s="63">
        <v>1</v>
      </c>
      <c r="B55" s="64" t="s">
        <v>23</v>
      </c>
      <c r="C55" s="65">
        <f>SUM(D55:F57)</f>
        <v>36</v>
      </c>
      <c r="D55" s="66">
        <f>SUM(G55:X55)</f>
        <v>18</v>
      </c>
      <c r="E55" s="66"/>
      <c r="F55" s="67"/>
      <c r="G55" s="68">
        <v>2</v>
      </c>
      <c r="H55" s="69"/>
      <c r="I55" s="69">
        <v>2</v>
      </c>
      <c r="J55" s="68"/>
      <c r="K55" s="65">
        <v>2</v>
      </c>
      <c r="L55" s="66"/>
      <c r="M55" s="66">
        <v>2</v>
      </c>
      <c r="N55" s="66"/>
      <c r="O55" s="66">
        <v>2</v>
      </c>
      <c r="P55" s="66"/>
      <c r="Q55" s="65">
        <v>2</v>
      </c>
      <c r="R55" s="65"/>
      <c r="S55" s="66">
        <v>2</v>
      </c>
      <c r="T55" s="66"/>
      <c r="U55" s="66">
        <v>2</v>
      </c>
      <c r="V55" s="66"/>
      <c r="W55" s="66">
        <v>2</v>
      </c>
      <c r="X55" s="67"/>
      <c r="Y55" s="65"/>
      <c r="Z55" s="66"/>
      <c r="AA55" s="66"/>
      <c r="AB55" s="66"/>
      <c r="AC55" s="66"/>
      <c r="AD55" s="66"/>
      <c r="AE55" s="67" t="s">
        <v>15</v>
      </c>
    </row>
    <row r="56" spans="1:44" s="4" customFormat="1" ht="19.5">
      <c r="A56" s="70"/>
      <c r="B56" s="71"/>
      <c r="C56" s="72"/>
      <c r="D56" s="73"/>
      <c r="E56" s="73">
        <f>SUM(G56:X56)</f>
        <v>18</v>
      </c>
      <c r="F56" s="74"/>
      <c r="G56" s="72"/>
      <c r="H56" s="72">
        <v>2</v>
      </c>
      <c r="I56" s="72"/>
      <c r="J56" s="72">
        <v>2</v>
      </c>
      <c r="K56" s="72"/>
      <c r="L56" s="72">
        <v>2</v>
      </c>
      <c r="M56" s="72"/>
      <c r="N56" s="72">
        <v>2</v>
      </c>
      <c r="O56" s="72"/>
      <c r="P56" s="72">
        <v>2</v>
      </c>
      <c r="Q56" s="72"/>
      <c r="R56" s="72">
        <v>2</v>
      </c>
      <c r="S56" s="72"/>
      <c r="T56" s="72">
        <v>2</v>
      </c>
      <c r="U56" s="72"/>
      <c r="V56" s="72">
        <v>2</v>
      </c>
      <c r="W56" s="72"/>
      <c r="X56" s="91">
        <v>2</v>
      </c>
      <c r="Y56" s="92"/>
      <c r="Z56" s="73"/>
      <c r="AA56" s="73"/>
      <c r="AB56" s="73"/>
      <c r="AC56" s="73"/>
      <c r="AD56" s="73"/>
      <c r="AE56" s="77"/>
    </row>
    <row r="57" spans="1:44" s="4" customFormat="1" ht="21.75" customHeight="1" thickBot="1">
      <c r="A57" s="78"/>
      <c r="B57" s="79"/>
      <c r="C57" s="80"/>
      <c r="D57" s="81"/>
      <c r="E57" s="81"/>
      <c r="F57" s="82">
        <f>SUM(G57:X57)</f>
        <v>0</v>
      </c>
      <c r="G57" s="80"/>
      <c r="H57" s="81"/>
      <c r="I57" s="81"/>
      <c r="J57" s="80"/>
      <c r="K57" s="80"/>
      <c r="L57" s="81"/>
      <c r="M57" s="81"/>
      <c r="N57" s="81"/>
      <c r="O57" s="81"/>
      <c r="P57" s="81"/>
      <c r="Q57" s="80"/>
      <c r="R57" s="80"/>
      <c r="S57" s="81"/>
      <c r="T57" s="81"/>
      <c r="U57" s="81"/>
      <c r="V57" s="81"/>
      <c r="W57" s="81"/>
      <c r="X57" s="93"/>
      <c r="Y57" s="80"/>
      <c r="Z57" s="81"/>
      <c r="AA57" s="81"/>
      <c r="AB57" s="81"/>
      <c r="AC57" s="81"/>
      <c r="AD57" s="81"/>
      <c r="AE57" s="82">
        <v>9</v>
      </c>
      <c r="AM57" s="11"/>
      <c r="AN57" s="11"/>
      <c r="AO57" s="11"/>
      <c r="AP57" s="11"/>
      <c r="AQ57" s="11"/>
      <c r="AR57" s="11"/>
    </row>
    <row r="58" spans="1:44" s="4" customFormat="1" ht="19.5" thickBot="1">
      <c r="A58" s="168" t="s">
        <v>41</v>
      </c>
      <c r="B58" s="169"/>
      <c r="C58" s="169"/>
      <c r="D58" s="169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70"/>
    </row>
    <row r="59" spans="1:44" s="4" customFormat="1" ht="37.5">
      <c r="A59" s="63">
        <v>1</v>
      </c>
      <c r="B59" s="64" t="s">
        <v>33</v>
      </c>
      <c r="C59" s="65">
        <f>SUM(D59:F61)</f>
        <v>72</v>
      </c>
      <c r="D59" s="66">
        <f>SUM(G59:AD59)</f>
        <v>36</v>
      </c>
      <c r="E59" s="66"/>
      <c r="F59" s="67"/>
      <c r="G59" s="68">
        <v>2</v>
      </c>
      <c r="H59" s="68">
        <v>2</v>
      </c>
      <c r="I59" s="68">
        <v>2</v>
      </c>
      <c r="J59" s="68">
        <v>2</v>
      </c>
      <c r="K59" s="69">
        <v>2</v>
      </c>
      <c r="L59" s="68">
        <v>2</v>
      </c>
      <c r="M59" s="68">
        <v>2</v>
      </c>
      <c r="N59" s="68">
        <v>2</v>
      </c>
      <c r="O59" s="68">
        <v>2</v>
      </c>
      <c r="P59" s="68">
        <v>2</v>
      </c>
      <c r="Q59" s="68">
        <v>2</v>
      </c>
      <c r="R59" s="68">
        <v>2</v>
      </c>
      <c r="S59" s="68">
        <v>2</v>
      </c>
      <c r="T59" s="68">
        <v>2</v>
      </c>
      <c r="U59" s="68">
        <v>2</v>
      </c>
      <c r="V59" s="68">
        <v>2</v>
      </c>
      <c r="W59" s="68">
        <v>2</v>
      </c>
      <c r="X59" s="104">
        <v>2</v>
      </c>
      <c r="Y59" s="65"/>
      <c r="Z59" s="66"/>
      <c r="AA59" s="66"/>
      <c r="AB59" s="66"/>
      <c r="AC59" s="66"/>
      <c r="AD59" s="66"/>
      <c r="AE59" s="67" t="s">
        <v>16</v>
      </c>
    </row>
    <row r="60" spans="1:44" s="4" customFormat="1" ht="19.5">
      <c r="A60" s="70"/>
      <c r="B60" s="71"/>
      <c r="C60" s="72"/>
      <c r="D60" s="73"/>
      <c r="E60" s="73">
        <f>SUM(G60:AD60)</f>
        <v>32</v>
      </c>
      <c r="F60" s="74"/>
      <c r="G60" s="72">
        <v>2</v>
      </c>
      <c r="H60" s="72">
        <v>2</v>
      </c>
      <c r="I60" s="72">
        <v>2</v>
      </c>
      <c r="J60" s="72">
        <v>2</v>
      </c>
      <c r="K60" s="73">
        <v>2</v>
      </c>
      <c r="L60" s="72">
        <v>2</v>
      </c>
      <c r="M60" s="72">
        <v>2</v>
      </c>
      <c r="N60" s="72">
        <v>2</v>
      </c>
      <c r="O60" s="72">
        <v>2</v>
      </c>
      <c r="P60" s="72">
        <v>2</v>
      </c>
      <c r="Q60" s="72">
        <v>2</v>
      </c>
      <c r="R60" s="72">
        <v>2</v>
      </c>
      <c r="S60" s="72">
        <v>2</v>
      </c>
      <c r="T60" s="72">
        <v>2</v>
      </c>
      <c r="U60" s="72">
        <v>2</v>
      </c>
      <c r="V60" s="72">
        <v>2</v>
      </c>
      <c r="W60" s="73"/>
      <c r="X60" s="74"/>
      <c r="Y60" s="72"/>
      <c r="Z60" s="73"/>
      <c r="AA60" s="73"/>
      <c r="AB60" s="73"/>
      <c r="AC60" s="73"/>
      <c r="AD60" s="73"/>
      <c r="AE60" s="77" t="s">
        <v>34</v>
      </c>
    </row>
    <row r="61" spans="1:44" s="4" customFormat="1" ht="21.75" customHeight="1" thickBot="1">
      <c r="A61" s="78"/>
      <c r="B61" s="79"/>
      <c r="C61" s="80"/>
      <c r="D61" s="81"/>
      <c r="E61" s="81"/>
      <c r="F61" s="82">
        <f>SUM(G61:AD61)</f>
        <v>4</v>
      </c>
      <c r="G61" s="80"/>
      <c r="H61" s="81"/>
      <c r="I61" s="81"/>
      <c r="J61" s="80"/>
      <c r="K61" s="80"/>
      <c r="L61" s="81"/>
      <c r="M61" s="81"/>
      <c r="N61" s="81"/>
      <c r="O61" s="81"/>
      <c r="P61" s="81"/>
      <c r="Q61" s="80"/>
      <c r="R61" s="80"/>
      <c r="S61" s="81"/>
      <c r="T61" s="81"/>
      <c r="U61" s="81"/>
      <c r="V61" s="81"/>
      <c r="W61" s="81">
        <v>2</v>
      </c>
      <c r="X61" s="82">
        <v>2</v>
      </c>
      <c r="Y61" s="80"/>
      <c r="Z61" s="81"/>
      <c r="AA61" s="81"/>
      <c r="AB61" s="81"/>
      <c r="AC61" s="81"/>
      <c r="AD61" s="81"/>
      <c r="AE61" s="82">
        <v>36</v>
      </c>
      <c r="AM61" s="11"/>
      <c r="AN61" s="11"/>
      <c r="AO61" s="11"/>
      <c r="AP61" s="11"/>
      <c r="AQ61" s="11"/>
      <c r="AR61" s="11"/>
    </row>
    <row r="62" spans="1:44" s="4" customFormat="1" ht="37.5">
      <c r="A62" s="83">
        <v>1</v>
      </c>
      <c r="B62" s="84" t="s">
        <v>35</v>
      </c>
      <c r="C62" s="65">
        <f>SUM(D62:F64)</f>
        <v>36</v>
      </c>
      <c r="D62" s="66">
        <f>SUM(G62:AD62)</f>
        <v>18</v>
      </c>
      <c r="E62" s="66"/>
      <c r="F62" s="67"/>
      <c r="G62" s="68">
        <v>2</v>
      </c>
      <c r="H62" s="69"/>
      <c r="I62" s="69">
        <v>2</v>
      </c>
      <c r="J62" s="68"/>
      <c r="K62" s="65">
        <v>2</v>
      </c>
      <c r="L62" s="66"/>
      <c r="M62" s="66">
        <v>2</v>
      </c>
      <c r="N62" s="66"/>
      <c r="O62" s="66">
        <v>2</v>
      </c>
      <c r="P62" s="66"/>
      <c r="Q62" s="65">
        <v>2</v>
      </c>
      <c r="R62" s="65"/>
      <c r="S62" s="66">
        <v>2</v>
      </c>
      <c r="T62" s="66"/>
      <c r="U62" s="66">
        <v>2</v>
      </c>
      <c r="V62" s="66"/>
      <c r="W62" s="66">
        <v>2</v>
      </c>
      <c r="X62" s="67"/>
      <c r="Y62" s="65"/>
      <c r="Z62" s="66"/>
      <c r="AA62" s="66"/>
      <c r="AB62" s="66"/>
      <c r="AC62" s="66"/>
      <c r="AD62" s="66"/>
      <c r="AE62" s="67" t="s">
        <v>29</v>
      </c>
      <c r="AM62" s="11"/>
      <c r="AN62" s="11"/>
      <c r="AO62" s="11"/>
      <c r="AP62" s="11"/>
      <c r="AQ62" s="11"/>
      <c r="AR62" s="11"/>
    </row>
    <row r="63" spans="1:44" s="4" customFormat="1">
      <c r="A63" s="85"/>
      <c r="B63" s="86"/>
      <c r="C63" s="72"/>
      <c r="D63" s="73"/>
      <c r="E63" s="73">
        <f>SUM(G63:AD63)</f>
        <v>18</v>
      </c>
      <c r="F63" s="74"/>
      <c r="G63" s="100"/>
      <c r="H63" s="73">
        <v>2</v>
      </c>
      <c r="I63" s="72"/>
      <c r="J63" s="73">
        <v>2</v>
      </c>
      <c r="K63" s="72"/>
      <c r="L63" s="73">
        <v>2</v>
      </c>
      <c r="M63" s="73"/>
      <c r="N63" s="73">
        <v>2</v>
      </c>
      <c r="O63" s="73"/>
      <c r="P63" s="73">
        <v>2</v>
      </c>
      <c r="Q63" s="72"/>
      <c r="R63" s="72">
        <v>2</v>
      </c>
      <c r="S63" s="73"/>
      <c r="T63" s="73">
        <v>2</v>
      </c>
      <c r="U63" s="73"/>
      <c r="V63" s="73">
        <v>2</v>
      </c>
      <c r="W63" s="73"/>
      <c r="X63" s="74">
        <v>2</v>
      </c>
      <c r="Y63" s="72"/>
      <c r="Z63" s="73"/>
      <c r="AA63" s="73"/>
      <c r="AB63" s="73"/>
      <c r="AC63" s="73"/>
      <c r="AD63" s="73"/>
      <c r="AE63" s="77"/>
      <c r="AM63" s="12"/>
      <c r="AN63" s="101"/>
      <c r="AO63" s="167"/>
      <c r="AP63" s="167"/>
      <c r="AQ63" s="11"/>
      <c r="AR63" s="11"/>
    </row>
    <row r="64" spans="1:44" s="4" customFormat="1" ht="19.5" thickBot="1">
      <c r="A64" s="85"/>
      <c r="B64" s="86"/>
      <c r="C64" s="80"/>
      <c r="D64" s="81"/>
      <c r="E64" s="81"/>
      <c r="F64" s="82"/>
      <c r="G64" s="87"/>
      <c r="H64" s="88"/>
      <c r="I64" s="87"/>
      <c r="J64" s="80"/>
      <c r="K64" s="87"/>
      <c r="L64" s="73"/>
      <c r="M64" s="73"/>
      <c r="N64" s="73"/>
      <c r="O64" s="73"/>
      <c r="P64" s="73"/>
      <c r="Q64" s="72"/>
      <c r="R64" s="72"/>
      <c r="S64" s="73"/>
      <c r="T64" s="73"/>
      <c r="U64" s="73"/>
      <c r="V64" s="73"/>
      <c r="W64" s="73"/>
      <c r="X64" s="74"/>
      <c r="Y64" s="72"/>
      <c r="Z64" s="73"/>
      <c r="AA64" s="73"/>
      <c r="AB64" s="73"/>
      <c r="AC64" s="73"/>
      <c r="AD64" s="73"/>
      <c r="AE64" s="82">
        <v>9</v>
      </c>
      <c r="AM64" s="12"/>
      <c r="AN64" s="101"/>
      <c r="AO64" s="167"/>
      <c r="AP64" s="167"/>
      <c r="AQ64" s="11"/>
      <c r="AR64" s="11"/>
    </row>
    <row r="65" spans="1:44" s="4" customFormat="1" ht="19.5">
      <c r="A65" s="63">
        <v>1</v>
      </c>
      <c r="B65" s="64" t="s">
        <v>36</v>
      </c>
      <c r="C65" s="65">
        <f>SUM(D65:F67)</f>
        <v>72</v>
      </c>
      <c r="D65" s="66">
        <f>SUM(G65:AD65)</f>
        <v>36</v>
      </c>
      <c r="E65" s="66"/>
      <c r="F65" s="67"/>
      <c r="G65" s="68">
        <v>2</v>
      </c>
      <c r="H65" s="68">
        <v>2</v>
      </c>
      <c r="I65" s="68">
        <v>2</v>
      </c>
      <c r="J65" s="68">
        <v>2</v>
      </c>
      <c r="K65" s="68">
        <v>2</v>
      </c>
      <c r="L65" s="68">
        <v>2</v>
      </c>
      <c r="M65" s="68">
        <v>2</v>
      </c>
      <c r="N65" s="68">
        <v>2</v>
      </c>
      <c r="O65" s="68">
        <v>2</v>
      </c>
      <c r="P65" s="68">
        <v>2</v>
      </c>
      <c r="Q65" s="68">
        <v>2</v>
      </c>
      <c r="R65" s="68">
        <v>2</v>
      </c>
      <c r="S65" s="68">
        <v>2</v>
      </c>
      <c r="T65" s="68">
        <v>2</v>
      </c>
      <c r="U65" s="68">
        <v>2</v>
      </c>
      <c r="V65" s="68">
        <v>2</v>
      </c>
      <c r="W65" s="68">
        <v>2</v>
      </c>
      <c r="X65" s="104">
        <v>2</v>
      </c>
      <c r="Y65" s="65"/>
      <c r="Z65" s="66"/>
      <c r="AA65" s="66"/>
      <c r="AB65" s="66"/>
      <c r="AC65" s="66"/>
      <c r="AD65" s="66"/>
      <c r="AE65" s="67" t="s">
        <v>16</v>
      </c>
    </row>
    <row r="66" spans="1:44" s="4" customFormat="1" ht="19.5">
      <c r="A66" s="70"/>
      <c r="B66" s="71"/>
      <c r="C66" s="72"/>
      <c r="D66" s="73"/>
      <c r="E66" s="73">
        <f>SUM(G66:AD66)</f>
        <v>36</v>
      </c>
      <c r="F66" s="74"/>
      <c r="G66" s="72">
        <v>2</v>
      </c>
      <c r="H66" s="72">
        <v>2</v>
      </c>
      <c r="I66" s="72">
        <v>2</v>
      </c>
      <c r="J66" s="72">
        <v>2</v>
      </c>
      <c r="K66" s="72">
        <v>2</v>
      </c>
      <c r="L66" s="72">
        <v>2</v>
      </c>
      <c r="M66" s="72">
        <v>2</v>
      </c>
      <c r="N66" s="72">
        <v>2</v>
      </c>
      <c r="O66" s="72">
        <v>2</v>
      </c>
      <c r="P66" s="72">
        <v>2</v>
      </c>
      <c r="Q66" s="72">
        <v>2</v>
      </c>
      <c r="R66" s="72">
        <v>2</v>
      </c>
      <c r="S66" s="72">
        <v>2</v>
      </c>
      <c r="T66" s="72">
        <v>2</v>
      </c>
      <c r="U66" s="72">
        <v>2</v>
      </c>
      <c r="V66" s="72">
        <v>2</v>
      </c>
      <c r="W66" s="72">
        <v>2</v>
      </c>
      <c r="X66" s="74">
        <v>2</v>
      </c>
      <c r="Y66" s="72"/>
      <c r="Z66" s="73"/>
      <c r="AA66" s="73"/>
      <c r="AB66" s="73"/>
      <c r="AC66" s="73"/>
      <c r="AD66" s="73"/>
      <c r="AE66" s="77"/>
    </row>
    <row r="67" spans="1:44" s="4" customFormat="1" ht="21.75" customHeight="1" thickBot="1">
      <c r="A67" s="78"/>
      <c r="B67" s="79"/>
      <c r="C67" s="80"/>
      <c r="D67" s="81"/>
      <c r="E67" s="81"/>
      <c r="F67" s="82">
        <f>SUM(G67:AD67)</f>
        <v>0</v>
      </c>
      <c r="G67" s="80"/>
      <c r="H67" s="81"/>
      <c r="I67" s="81"/>
      <c r="J67" s="80"/>
      <c r="K67" s="80"/>
      <c r="L67" s="81"/>
      <c r="M67" s="81"/>
      <c r="N67" s="81"/>
      <c r="O67" s="81"/>
      <c r="P67" s="81"/>
      <c r="Q67" s="80"/>
      <c r="R67" s="80"/>
      <c r="S67" s="81"/>
      <c r="T67" s="81"/>
      <c r="U67" s="81"/>
      <c r="V67" s="81"/>
      <c r="W67" s="81"/>
      <c r="X67" s="82"/>
      <c r="Y67" s="80"/>
      <c r="Z67" s="81"/>
      <c r="AA67" s="81"/>
      <c r="AB67" s="81"/>
      <c r="AC67" s="81"/>
      <c r="AD67" s="81"/>
      <c r="AE67" s="82">
        <v>36</v>
      </c>
      <c r="AM67" s="11"/>
      <c r="AN67" s="11"/>
      <c r="AO67" s="11"/>
      <c r="AP67" s="11"/>
      <c r="AQ67" s="11"/>
      <c r="AR67" s="11"/>
    </row>
    <row r="68" spans="1:44" s="4" customFormat="1" ht="56.25">
      <c r="A68" s="83">
        <v>1</v>
      </c>
      <c r="B68" s="84" t="s">
        <v>37</v>
      </c>
      <c r="C68" s="65">
        <f>SUM(D68:F70)</f>
        <v>54</v>
      </c>
      <c r="D68" s="66">
        <f>SUM(G68:AD68)</f>
        <v>18</v>
      </c>
      <c r="E68" s="66"/>
      <c r="F68" s="67"/>
      <c r="G68" s="65">
        <v>2</v>
      </c>
      <c r="H68" s="66"/>
      <c r="I68" s="66">
        <v>2</v>
      </c>
      <c r="J68" s="65"/>
      <c r="K68" s="65">
        <v>2</v>
      </c>
      <c r="L68" s="66"/>
      <c r="M68" s="66">
        <v>2</v>
      </c>
      <c r="N68" s="66"/>
      <c r="O68" s="66">
        <v>2</v>
      </c>
      <c r="P68" s="66"/>
      <c r="Q68" s="65">
        <v>2</v>
      </c>
      <c r="R68" s="65"/>
      <c r="S68" s="66">
        <v>2</v>
      </c>
      <c r="T68" s="66"/>
      <c r="U68" s="66">
        <v>2</v>
      </c>
      <c r="V68" s="66"/>
      <c r="W68" s="66">
        <v>2</v>
      </c>
      <c r="X68" s="67"/>
      <c r="Y68" s="65"/>
      <c r="Z68" s="66"/>
      <c r="AA68" s="66"/>
      <c r="AB68" s="66"/>
      <c r="AC68" s="66"/>
      <c r="AD68" s="66"/>
      <c r="AE68" s="67" t="s">
        <v>15</v>
      </c>
      <c r="AM68" s="11"/>
      <c r="AN68" s="11"/>
      <c r="AO68" s="11"/>
      <c r="AP68" s="11"/>
      <c r="AQ68" s="11"/>
      <c r="AR68" s="11"/>
    </row>
    <row r="69" spans="1:44" s="4" customFormat="1">
      <c r="A69" s="85"/>
      <c r="B69" s="86"/>
      <c r="C69" s="72"/>
      <c r="D69" s="73"/>
      <c r="E69" s="73">
        <f>SUM(G69:AD69)</f>
        <v>36</v>
      </c>
      <c r="F69" s="74"/>
      <c r="G69" s="72"/>
      <c r="H69" s="73">
        <v>4</v>
      </c>
      <c r="I69" s="73"/>
      <c r="J69" s="72">
        <v>4</v>
      </c>
      <c r="K69" s="75"/>
      <c r="L69" s="73">
        <v>4</v>
      </c>
      <c r="M69" s="73"/>
      <c r="N69" s="73">
        <v>4</v>
      </c>
      <c r="O69" s="73"/>
      <c r="P69" s="73">
        <v>4</v>
      </c>
      <c r="Q69" s="72"/>
      <c r="R69" s="72">
        <v>4</v>
      </c>
      <c r="S69" s="73"/>
      <c r="T69" s="73">
        <v>4</v>
      </c>
      <c r="U69" s="73"/>
      <c r="V69" s="73">
        <v>4</v>
      </c>
      <c r="W69" s="73"/>
      <c r="X69" s="74">
        <v>4</v>
      </c>
      <c r="Y69" s="72"/>
      <c r="Z69" s="73"/>
      <c r="AA69" s="73"/>
      <c r="AB69" s="73"/>
      <c r="AC69" s="73"/>
      <c r="AD69" s="73"/>
      <c r="AE69" s="77"/>
      <c r="AM69" s="12"/>
      <c r="AN69" s="101"/>
      <c r="AO69" s="167"/>
      <c r="AP69" s="167"/>
      <c r="AQ69" s="11"/>
      <c r="AR69" s="11"/>
    </row>
    <row r="70" spans="1:44" s="4" customFormat="1" ht="19.5" thickBot="1">
      <c r="A70" s="89"/>
      <c r="B70" s="90"/>
      <c r="C70" s="80"/>
      <c r="D70" s="81"/>
      <c r="E70" s="81"/>
      <c r="F70" s="82"/>
      <c r="G70" s="80"/>
      <c r="H70" s="81"/>
      <c r="I70" s="81"/>
      <c r="J70" s="80"/>
      <c r="K70" s="87"/>
      <c r="L70" s="88"/>
      <c r="M70" s="88"/>
      <c r="N70" s="88"/>
      <c r="O70" s="88"/>
      <c r="P70" s="88"/>
      <c r="Q70" s="87"/>
      <c r="R70" s="87"/>
      <c r="S70" s="88"/>
      <c r="T70" s="88"/>
      <c r="U70" s="88"/>
      <c r="V70" s="88"/>
      <c r="W70" s="88"/>
      <c r="X70" s="93"/>
      <c r="Y70" s="87"/>
      <c r="Z70" s="88"/>
      <c r="AA70" s="88"/>
      <c r="AB70" s="88"/>
      <c r="AC70" s="88"/>
      <c r="AD70" s="88"/>
      <c r="AE70" s="82">
        <v>9</v>
      </c>
      <c r="AM70" s="12"/>
      <c r="AN70" s="101"/>
      <c r="AO70" s="167"/>
      <c r="AP70" s="167"/>
      <c r="AQ70" s="11"/>
      <c r="AR70" s="11"/>
    </row>
    <row r="71" spans="1:44" s="4" customFormat="1" ht="37.5">
      <c r="A71" s="83">
        <v>1</v>
      </c>
      <c r="B71" s="84" t="s">
        <v>38</v>
      </c>
      <c r="C71" s="65">
        <f>SUM(D71:F73)</f>
        <v>36</v>
      </c>
      <c r="D71" s="66">
        <f>SUM(G71:AD71)</f>
        <v>18</v>
      </c>
      <c r="E71" s="66"/>
      <c r="F71" s="67"/>
      <c r="G71" s="68">
        <v>2</v>
      </c>
      <c r="H71" s="69"/>
      <c r="I71" s="69">
        <v>2</v>
      </c>
      <c r="J71" s="68"/>
      <c r="K71" s="65">
        <v>2</v>
      </c>
      <c r="L71" s="66"/>
      <c r="M71" s="66">
        <v>2</v>
      </c>
      <c r="N71" s="66"/>
      <c r="O71" s="66">
        <v>2</v>
      </c>
      <c r="P71" s="66"/>
      <c r="Q71" s="65">
        <v>2</v>
      </c>
      <c r="R71" s="65"/>
      <c r="S71" s="66">
        <v>2</v>
      </c>
      <c r="T71" s="66"/>
      <c r="U71" s="66">
        <v>2</v>
      </c>
      <c r="V71" s="66"/>
      <c r="W71" s="66">
        <v>2</v>
      </c>
      <c r="X71" s="67"/>
      <c r="Y71" s="65"/>
      <c r="Z71" s="66"/>
      <c r="AA71" s="66"/>
      <c r="AB71" s="66"/>
      <c r="AC71" s="66"/>
      <c r="AD71" s="66"/>
      <c r="AE71" s="67" t="s">
        <v>16</v>
      </c>
      <c r="AM71" s="11"/>
      <c r="AN71" s="11"/>
      <c r="AO71" s="11"/>
      <c r="AP71" s="11"/>
      <c r="AQ71" s="11"/>
      <c r="AR71" s="11"/>
    </row>
    <row r="72" spans="1:44" s="4" customFormat="1">
      <c r="A72" s="85"/>
      <c r="B72" s="86"/>
      <c r="C72" s="72"/>
      <c r="D72" s="73"/>
      <c r="E72" s="73">
        <f>SUM(G72:AD72)</f>
        <v>18</v>
      </c>
      <c r="F72" s="74"/>
      <c r="G72" s="72"/>
      <c r="H72" s="73">
        <v>2</v>
      </c>
      <c r="I72" s="73"/>
      <c r="J72" s="72">
        <v>2</v>
      </c>
      <c r="K72" s="75"/>
      <c r="L72" s="76">
        <v>2</v>
      </c>
      <c r="M72" s="76"/>
      <c r="N72" s="76">
        <v>2</v>
      </c>
      <c r="O72" s="76"/>
      <c r="P72" s="76">
        <v>2</v>
      </c>
      <c r="Q72" s="72"/>
      <c r="R72" s="72">
        <v>2</v>
      </c>
      <c r="S72" s="73"/>
      <c r="T72" s="73">
        <v>2</v>
      </c>
      <c r="U72" s="73"/>
      <c r="V72" s="73">
        <v>2</v>
      </c>
      <c r="W72" s="73"/>
      <c r="X72" s="74">
        <v>2</v>
      </c>
      <c r="Y72" s="72"/>
      <c r="Z72" s="73"/>
      <c r="AA72" s="73"/>
      <c r="AB72" s="73"/>
      <c r="AC72" s="73"/>
      <c r="AD72" s="73"/>
      <c r="AE72" s="77"/>
      <c r="AM72" s="12"/>
      <c r="AN72" s="101"/>
      <c r="AO72" s="167"/>
      <c r="AP72" s="167"/>
      <c r="AQ72" s="11"/>
      <c r="AR72" s="11"/>
    </row>
    <row r="73" spans="1:44" s="4" customFormat="1" ht="19.5" thickBot="1">
      <c r="A73" s="89"/>
      <c r="B73" s="90"/>
      <c r="C73" s="80"/>
      <c r="D73" s="81"/>
      <c r="E73" s="81"/>
      <c r="F73" s="82">
        <f>SUM(G73:AD73)</f>
        <v>0</v>
      </c>
      <c r="G73" s="80"/>
      <c r="H73" s="81"/>
      <c r="I73" s="81"/>
      <c r="J73" s="80"/>
      <c r="K73" s="80"/>
      <c r="L73" s="81"/>
      <c r="M73" s="81"/>
      <c r="N73" s="81"/>
      <c r="O73" s="81"/>
      <c r="P73" s="81"/>
      <c r="Q73" s="87"/>
      <c r="R73" s="87"/>
      <c r="S73" s="88"/>
      <c r="T73" s="88"/>
      <c r="U73" s="88"/>
      <c r="V73" s="88"/>
      <c r="W73" s="88"/>
      <c r="X73" s="93"/>
      <c r="Y73" s="87"/>
      <c r="Z73" s="88"/>
      <c r="AA73" s="88"/>
      <c r="AB73" s="88"/>
      <c r="AC73" s="88"/>
      <c r="AD73" s="88"/>
      <c r="AE73" s="82">
        <v>36</v>
      </c>
      <c r="AM73" s="12"/>
      <c r="AN73" s="101"/>
      <c r="AO73" s="167"/>
      <c r="AP73" s="167"/>
      <c r="AQ73" s="11"/>
      <c r="AR73" s="11"/>
    </row>
    <row r="74" spans="1:44" s="4" customFormat="1" ht="37.5">
      <c r="A74" s="83">
        <v>1</v>
      </c>
      <c r="B74" s="84" t="s">
        <v>39</v>
      </c>
      <c r="C74" s="65">
        <f>SUM(D74:F76)</f>
        <v>36</v>
      </c>
      <c r="D74" s="66">
        <f>SUM(G74:AD74)</f>
        <v>18</v>
      </c>
      <c r="E74" s="66"/>
      <c r="F74" s="67"/>
      <c r="G74" s="68">
        <v>2</v>
      </c>
      <c r="H74" s="69"/>
      <c r="I74" s="69">
        <v>2</v>
      </c>
      <c r="J74" s="68"/>
      <c r="K74" s="65">
        <v>2</v>
      </c>
      <c r="L74" s="66"/>
      <c r="M74" s="66">
        <v>2</v>
      </c>
      <c r="N74" s="66"/>
      <c r="O74" s="66">
        <v>2</v>
      </c>
      <c r="P74" s="66"/>
      <c r="Q74" s="65">
        <v>2</v>
      </c>
      <c r="R74" s="65"/>
      <c r="S74" s="66">
        <v>2</v>
      </c>
      <c r="T74" s="66"/>
      <c r="U74" s="66">
        <v>2</v>
      </c>
      <c r="V74" s="66"/>
      <c r="W74" s="66">
        <v>2</v>
      </c>
      <c r="X74" s="67"/>
      <c r="Y74" s="65"/>
      <c r="Z74" s="66"/>
      <c r="AA74" s="66"/>
      <c r="AB74" s="66"/>
      <c r="AC74" s="66"/>
      <c r="AD74" s="66"/>
      <c r="AE74" s="67" t="s">
        <v>15</v>
      </c>
      <c r="AM74" s="11"/>
      <c r="AN74" s="11"/>
      <c r="AO74" s="11"/>
      <c r="AP74" s="11"/>
      <c r="AQ74" s="11"/>
      <c r="AR74" s="11"/>
    </row>
    <row r="75" spans="1:44" s="4" customFormat="1">
      <c r="A75" s="85"/>
      <c r="B75" s="86"/>
      <c r="C75" s="72"/>
      <c r="D75" s="73"/>
      <c r="E75" s="73">
        <f>SUM(G75:AD75)</f>
        <v>18</v>
      </c>
      <c r="F75" s="74"/>
      <c r="G75" s="72"/>
      <c r="H75" s="73">
        <v>2</v>
      </c>
      <c r="I75" s="73"/>
      <c r="J75" s="72">
        <v>2</v>
      </c>
      <c r="K75" s="75"/>
      <c r="L75" s="76">
        <v>2</v>
      </c>
      <c r="M75" s="76"/>
      <c r="N75" s="76">
        <v>2</v>
      </c>
      <c r="O75" s="76"/>
      <c r="P75" s="76">
        <v>2</v>
      </c>
      <c r="Q75" s="72"/>
      <c r="R75" s="72">
        <v>2</v>
      </c>
      <c r="S75" s="73"/>
      <c r="T75" s="73">
        <v>2</v>
      </c>
      <c r="U75" s="73"/>
      <c r="V75" s="73">
        <v>2</v>
      </c>
      <c r="W75" s="73"/>
      <c r="X75" s="74">
        <v>2</v>
      </c>
      <c r="Y75" s="72"/>
      <c r="Z75" s="73"/>
      <c r="AA75" s="73"/>
      <c r="AB75" s="73"/>
      <c r="AC75" s="73"/>
      <c r="AD75" s="73"/>
      <c r="AE75" s="77"/>
      <c r="AM75" s="12"/>
      <c r="AN75" s="101"/>
      <c r="AO75" s="167"/>
      <c r="AP75" s="167"/>
      <c r="AQ75" s="11"/>
      <c r="AR75" s="11"/>
    </row>
    <row r="76" spans="1:44" s="4" customFormat="1" ht="19.5" thickBot="1">
      <c r="A76" s="89"/>
      <c r="B76" s="90"/>
      <c r="C76" s="80"/>
      <c r="D76" s="81"/>
      <c r="E76" s="81"/>
      <c r="F76" s="82">
        <f>SUM(G76:AD76)</f>
        <v>0</v>
      </c>
      <c r="G76" s="80"/>
      <c r="H76" s="81"/>
      <c r="I76" s="81"/>
      <c r="J76" s="80"/>
      <c r="K76" s="80"/>
      <c r="L76" s="81"/>
      <c r="M76" s="81"/>
      <c r="N76" s="81"/>
      <c r="O76" s="81"/>
      <c r="P76" s="81"/>
      <c r="Q76" s="87"/>
      <c r="R76" s="87"/>
      <c r="S76" s="88"/>
      <c r="T76" s="88"/>
      <c r="U76" s="88"/>
      <c r="V76" s="88"/>
      <c r="W76" s="88"/>
      <c r="X76" s="93"/>
      <c r="Y76" s="87"/>
      <c r="Z76" s="88"/>
      <c r="AA76" s="88"/>
      <c r="AB76" s="88"/>
      <c r="AC76" s="88"/>
      <c r="AD76" s="88"/>
      <c r="AE76" s="82">
        <v>9</v>
      </c>
      <c r="AM76" s="12"/>
      <c r="AN76" s="101"/>
      <c r="AO76" s="167"/>
      <c r="AP76" s="167"/>
      <c r="AQ76" s="11"/>
      <c r="AR76" s="11"/>
    </row>
    <row r="77" spans="1:44" s="4" customFormat="1" ht="56.25">
      <c r="A77" s="83">
        <v>1</v>
      </c>
      <c r="B77" s="84" t="s">
        <v>40</v>
      </c>
      <c r="C77" s="65">
        <f>SUM(D77:F79)</f>
        <v>54</v>
      </c>
      <c r="D77" s="66">
        <f>SUM(G77:AD77)</f>
        <v>18</v>
      </c>
      <c r="E77" s="66"/>
      <c r="F77" s="67"/>
      <c r="G77" s="68">
        <v>2</v>
      </c>
      <c r="H77" s="69"/>
      <c r="I77" s="69">
        <v>2</v>
      </c>
      <c r="J77" s="68"/>
      <c r="K77" s="65">
        <v>2</v>
      </c>
      <c r="L77" s="66"/>
      <c r="M77" s="66">
        <v>2</v>
      </c>
      <c r="N77" s="66"/>
      <c r="O77" s="66">
        <v>2</v>
      </c>
      <c r="P77" s="66"/>
      <c r="Q77" s="65">
        <v>2</v>
      </c>
      <c r="R77" s="65"/>
      <c r="S77" s="66">
        <v>2</v>
      </c>
      <c r="T77" s="66"/>
      <c r="U77" s="66">
        <v>2</v>
      </c>
      <c r="V77" s="66"/>
      <c r="W77" s="66">
        <v>2</v>
      </c>
      <c r="X77" s="67"/>
      <c r="Y77" s="65"/>
      <c r="Z77" s="66"/>
      <c r="AA77" s="66"/>
      <c r="AB77" s="66"/>
      <c r="AC77" s="66"/>
      <c r="AD77" s="66"/>
      <c r="AE77" s="67" t="s">
        <v>29</v>
      </c>
      <c r="AM77" s="11"/>
      <c r="AN77" s="11"/>
      <c r="AO77" s="11"/>
      <c r="AP77" s="11"/>
      <c r="AQ77" s="11"/>
      <c r="AR77" s="11"/>
    </row>
    <row r="78" spans="1:44" s="4" customFormat="1">
      <c r="A78" s="85"/>
      <c r="B78" s="86"/>
      <c r="C78" s="72"/>
      <c r="D78" s="73"/>
      <c r="E78" s="73">
        <f>SUM(G78:AD78)</f>
        <v>36</v>
      </c>
      <c r="F78" s="105"/>
      <c r="G78" s="92"/>
      <c r="H78" s="73">
        <v>4</v>
      </c>
      <c r="I78" s="73"/>
      <c r="J78" s="72">
        <v>4</v>
      </c>
      <c r="K78" s="75"/>
      <c r="L78" s="76">
        <v>4</v>
      </c>
      <c r="M78" s="76"/>
      <c r="N78" s="76">
        <v>4</v>
      </c>
      <c r="O78" s="76"/>
      <c r="P78" s="76">
        <v>4</v>
      </c>
      <c r="Q78" s="72"/>
      <c r="R78" s="72">
        <v>4</v>
      </c>
      <c r="S78" s="73"/>
      <c r="T78" s="73">
        <v>4</v>
      </c>
      <c r="U78" s="73"/>
      <c r="V78" s="73">
        <v>4</v>
      </c>
      <c r="W78" s="73"/>
      <c r="X78" s="74">
        <v>4</v>
      </c>
      <c r="Y78" s="72"/>
      <c r="Z78" s="73"/>
      <c r="AA78" s="73"/>
      <c r="AB78" s="73"/>
      <c r="AC78" s="73"/>
      <c r="AD78" s="73"/>
      <c r="AE78" s="77"/>
      <c r="AM78" s="12"/>
      <c r="AN78" s="101"/>
      <c r="AO78" s="167"/>
      <c r="AP78" s="167"/>
      <c r="AQ78" s="11"/>
      <c r="AR78" s="11"/>
    </row>
    <row r="79" spans="1:44" s="4" customFormat="1" ht="19.5" thickBot="1">
      <c r="A79" s="89"/>
      <c r="B79" s="90"/>
      <c r="C79" s="80"/>
      <c r="D79" s="81"/>
      <c r="E79" s="81"/>
      <c r="F79" s="82">
        <f>SUM(G79:AD79)</f>
        <v>0</v>
      </c>
      <c r="G79" s="80"/>
      <c r="H79" s="81"/>
      <c r="I79" s="81"/>
      <c r="J79" s="80"/>
      <c r="K79" s="80"/>
      <c r="L79" s="81"/>
      <c r="M79" s="81"/>
      <c r="N79" s="81"/>
      <c r="O79" s="81"/>
      <c r="P79" s="81"/>
      <c r="Q79" s="87"/>
      <c r="R79" s="87"/>
      <c r="S79" s="88"/>
      <c r="T79" s="88"/>
      <c r="U79" s="88"/>
      <c r="V79" s="88"/>
      <c r="W79" s="88"/>
      <c r="X79" s="93"/>
      <c r="Y79" s="87"/>
      <c r="Z79" s="88"/>
      <c r="AA79" s="88"/>
      <c r="AB79" s="88"/>
      <c r="AC79" s="88"/>
      <c r="AD79" s="88"/>
      <c r="AE79" s="82">
        <v>18</v>
      </c>
      <c r="AM79" s="12"/>
      <c r="AN79" s="101"/>
      <c r="AO79" s="167"/>
      <c r="AP79" s="167"/>
      <c r="AQ79" s="11"/>
      <c r="AR79" s="11"/>
    </row>
    <row r="80" spans="1:44" s="4" customFormat="1" ht="21.75" customHeight="1" thickBot="1">
      <c r="A80" s="168" t="s">
        <v>43</v>
      </c>
      <c r="B80" s="169"/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70"/>
      <c r="AM80" s="11"/>
      <c r="AN80" s="11"/>
      <c r="AO80" s="11"/>
      <c r="AP80" s="11"/>
      <c r="AQ80" s="11"/>
      <c r="AR80" s="11"/>
    </row>
    <row r="81" spans="1:44" s="4" customFormat="1" ht="75">
      <c r="A81" s="63">
        <v>1</v>
      </c>
      <c r="B81" s="64" t="s">
        <v>42</v>
      </c>
      <c r="C81" s="65">
        <f>SUM(D81:F83)</f>
        <v>54</v>
      </c>
      <c r="D81" s="66">
        <f>SUM(G81:X81)</f>
        <v>18</v>
      </c>
      <c r="E81" s="66"/>
      <c r="F81" s="67"/>
      <c r="G81" s="68">
        <v>2</v>
      </c>
      <c r="H81" s="69"/>
      <c r="I81" s="69">
        <v>2</v>
      </c>
      <c r="J81" s="68"/>
      <c r="K81" s="65">
        <v>2</v>
      </c>
      <c r="L81" s="66"/>
      <c r="M81" s="66">
        <v>2</v>
      </c>
      <c r="N81" s="66"/>
      <c r="O81" s="66">
        <v>2</v>
      </c>
      <c r="P81" s="66"/>
      <c r="Q81" s="65">
        <v>2</v>
      </c>
      <c r="R81" s="65"/>
      <c r="S81" s="66">
        <v>2</v>
      </c>
      <c r="T81" s="66"/>
      <c r="U81" s="66">
        <v>2</v>
      </c>
      <c r="V81" s="66"/>
      <c r="W81" s="66">
        <v>2</v>
      </c>
      <c r="X81" s="67"/>
      <c r="Y81" s="65"/>
      <c r="Z81" s="66"/>
      <c r="AA81" s="66"/>
      <c r="AB81" s="66"/>
      <c r="AC81" s="66"/>
      <c r="AD81" s="66"/>
      <c r="AE81" s="67" t="s">
        <v>15</v>
      </c>
    </row>
    <row r="82" spans="1:44" s="4" customFormat="1" ht="19.5">
      <c r="A82" s="70"/>
      <c r="B82" s="71"/>
      <c r="C82" s="72"/>
      <c r="D82" s="73"/>
      <c r="E82" s="73">
        <f>SUM(G82:X82)</f>
        <v>36</v>
      </c>
      <c r="F82" s="74"/>
      <c r="G82" s="72"/>
      <c r="H82" s="72">
        <v>4</v>
      </c>
      <c r="I82" s="72"/>
      <c r="J82" s="72">
        <v>4</v>
      </c>
      <c r="K82" s="72"/>
      <c r="L82" s="72">
        <v>4</v>
      </c>
      <c r="M82" s="72"/>
      <c r="N82" s="72">
        <v>4</v>
      </c>
      <c r="O82" s="72"/>
      <c r="P82" s="72">
        <v>4</v>
      </c>
      <c r="Q82" s="72"/>
      <c r="R82" s="72">
        <v>4</v>
      </c>
      <c r="S82" s="72"/>
      <c r="T82" s="72">
        <v>4</v>
      </c>
      <c r="U82" s="72"/>
      <c r="V82" s="72">
        <v>4</v>
      </c>
      <c r="W82" s="72"/>
      <c r="X82" s="91">
        <v>4</v>
      </c>
      <c r="Y82" s="92"/>
      <c r="Z82" s="73"/>
      <c r="AA82" s="73"/>
      <c r="AB82" s="73"/>
      <c r="AC82" s="73"/>
      <c r="AD82" s="73"/>
      <c r="AE82" s="77"/>
    </row>
    <row r="83" spans="1:44" s="4" customFormat="1" ht="21.75" customHeight="1" thickBot="1">
      <c r="A83" s="78"/>
      <c r="B83" s="79"/>
      <c r="C83" s="80"/>
      <c r="D83" s="81"/>
      <c r="E83" s="81"/>
      <c r="F83" s="82">
        <f>SUM(G83:X83)</f>
        <v>0</v>
      </c>
      <c r="G83" s="80"/>
      <c r="H83" s="81"/>
      <c r="I83" s="81"/>
      <c r="J83" s="80"/>
      <c r="K83" s="80"/>
      <c r="L83" s="81"/>
      <c r="M83" s="81"/>
      <c r="N83" s="81"/>
      <c r="O83" s="81"/>
      <c r="P83" s="81"/>
      <c r="Q83" s="80"/>
      <c r="R83" s="80"/>
      <c r="S83" s="81"/>
      <c r="T83" s="81"/>
      <c r="U83" s="81"/>
      <c r="V83" s="81"/>
      <c r="W83" s="81"/>
      <c r="X83" s="93"/>
      <c r="Y83" s="80"/>
      <c r="Z83" s="81"/>
      <c r="AA83" s="81"/>
      <c r="AB83" s="81"/>
      <c r="AC83" s="81"/>
      <c r="AD83" s="81"/>
      <c r="AE83" s="82">
        <v>9</v>
      </c>
      <c r="AM83" s="11"/>
      <c r="AN83" s="11"/>
      <c r="AO83" s="11"/>
      <c r="AP83" s="11"/>
      <c r="AQ83" s="11"/>
      <c r="AR83" s="11"/>
    </row>
    <row r="84" spans="1:44" s="4" customFormat="1" ht="40.5" customHeight="1" thickBot="1">
      <c r="A84" s="209" t="s">
        <v>44</v>
      </c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  <c r="AA84" s="210"/>
      <c r="AB84" s="210"/>
      <c r="AC84" s="210"/>
      <c r="AD84" s="210"/>
      <c r="AE84" s="211"/>
      <c r="AM84" s="11"/>
      <c r="AN84" s="11"/>
      <c r="AO84" s="11"/>
      <c r="AP84" s="11"/>
      <c r="AQ84" s="11"/>
      <c r="AR84" s="11"/>
    </row>
    <row r="85" spans="1:44" s="4" customFormat="1" ht="19.5" thickBot="1">
      <c r="A85" s="168" t="s">
        <v>46</v>
      </c>
      <c r="B85" s="169"/>
      <c r="C85" s="169"/>
      <c r="D85" s="169"/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70"/>
      <c r="AM85" s="11"/>
      <c r="AN85" s="11"/>
      <c r="AO85" s="11"/>
      <c r="AP85" s="11"/>
      <c r="AQ85" s="11"/>
      <c r="AR85" s="11"/>
    </row>
    <row r="86" spans="1:44" s="4" customFormat="1" ht="19.5">
      <c r="A86" s="63">
        <v>1</v>
      </c>
      <c r="B86" s="64" t="s">
        <v>45</v>
      </c>
      <c r="C86" s="65">
        <f>SUM(D86:F88)</f>
        <v>36</v>
      </c>
      <c r="D86" s="66">
        <f>SUM(G86:X86)</f>
        <v>18</v>
      </c>
      <c r="E86" s="66"/>
      <c r="F86" s="67"/>
      <c r="G86" s="68">
        <v>2</v>
      </c>
      <c r="H86" s="69"/>
      <c r="I86" s="69">
        <v>2</v>
      </c>
      <c r="J86" s="68"/>
      <c r="K86" s="65">
        <v>2</v>
      </c>
      <c r="L86" s="66"/>
      <c r="M86" s="66">
        <v>2</v>
      </c>
      <c r="N86" s="66"/>
      <c r="O86" s="66">
        <v>2</v>
      </c>
      <c r="P86" s="66"/>
      <c r="Q86" s="65">
        <v>2</v>
      </c>
      <c r="R86" s="65"/>
      <c r="S86" s="66">
        <v>2</v>
      </c>
      <c r="T86" s="66"/>
      <c r="U86" s="66">
        <v>2</v>
      </c>
      <c r="V86" s="66"/>
      <c r="W86" s="66">
        <v>2</v>
      </c>
      <c r="X86" s="67"/>
      <c r="Y86" s="65"/>
      <c r="Z86" s="66"/>
      <c r="AA86" s="66"/>
      <c r="AB86" s="66"/>
      <c r="AC86" s="66"/>
      <c r="AD86" s="66"/>
      <c r="AE86" s="67" t="s">
        <v>15</v>
      </c>
    </row>
    <row r="87" spans="1:44" s="4" customFormat="1" ht="19.5">
      <c r="A87" s="70"/>
      <c r="B87" s="71"/>
      <c r="C87" s="72"/>
      <c r="D87" s="73"/>
      <c r="E87" s="73">
        <f>SUM(G87:X87)</f>
        <v>18</v>
      </c>
      <c r="F87" s="74"/>
      <c r="G87" s="72"/>
      <c r="H87" s="72">
        <v>2</v>
      </c>
      <c r="I87" s="72"/>
      <c r="J87" s="72">
        <v>2</v>
      </c>
      <c r="K87" s="72"/>
      <c r="L87" s="72">
        <v>2</v>
      </c>
      <c r="M87" s="72"/>
      <c r="N87" s="72">
        <v>2</v>
      </c>
      <c r="O87" s="72"/>
      <c r="P87" s="72">
        <v>2</v>
      </c>
      <c r="Q87" s="72"/>
      <c r="R87" s="72">
        <v>2</v>
      </c>
      <c r="S87" s="72"/>
      <c r="T87" s="72">
        <v>2</v>
      </c>
      <c r="U87" s="72"/>
      <c r="V87" s="72">
        <v>2</v>
      </c>
      <c r="W87" s="72"/>
      <c r="X87" s="91">
        <v>2</v>
      </c>
      <c r="Y87" s="92"/>
      <c r="Z87" s="73"/>
      <c r="AA87" s="73"/>
      <c r="AB87" s="73"/>
      <c r="AC87" s="73"/>
      <c r="AD87" s="73"/>
      <c r="AE87" s="77"/>
    </row>
    <row r="88" spans="1:44" s="4" customFormat="1" ht="21.75" customHeight="1" thickBot="1">
      <c r="A88" s="78"/>
      <c r="B88" s="79"/>
      <c r="C88" s="80"/>
      <c r="D88" s="81"/>
      <c r="E88" s="81"/>
      <c r="F88" s="82">
        <f>SUM(G88:X88)</f>
        <v>0</v>
      </c>
      <c r="G88" s="80"/>
      <c r="H88" s="81"/>
      <c r="I88" s="81"/>
      <c r="J88" s="80"/>
      <c r="K88" s="80"/>
      <c r="L88" s="81"/>
      <c r="M88" s="81"/>
      <c r="N88" s="81"/>
      <c r="O88" s="81"/>
      <c r="P88" s="81"/>
      <c r="Q88" s="80"/>
      <c r="R88" s="80"/>
      <c r="S88" s="81"/>
      <c r="T88" s="81"/>
      <c r="U88" s="81"/>
      <c r="V88" s="81"/>
      <c r="W88" s="81"/>
      <c r="X88" s="93"/>
      <c r="Y88" s="80"/>
      <c r="Z88" s="81"/>
      <c r="AA88" s="81"/>
      <c r="AB88" s="81"/>
      <c r="AC88" s="81"/>
      <c r="AD88" s="81"/>
      <c r="AE88" s="82">
        <v>9</v>
      </c>
      <c r="AM88" s="11"/>
      <c r="AN88" s="11"/>
      <c r="AO88" s="11"/>
      <c r="AP88" s="11"/>
      <c r="AQ88" s="11"/>
      <c r="AR88" s="11"/>
    </row>
    <row r="89" spans="1:44" s="4" customFormat="1" ht="19.5" thickBot="1">
      <c r="A89" s="168" t="s">
        <v>53</v>
      </c>
      <c r="B89" s="169"/>
      <c r="C89" s="169"/>
      <c r="D89" s="169"/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70"/>
      <c r="AM89" s="12"/>
      <c r="AN89" s="13"/>
      <c r="AO89" s="167"/>
      <c r="AP89" s="167"/>
      <c r="AQ89" s="11"/>
      <c r="AR89" s="11"/>
    </row>
    <row r="90" spans="1:44" s="4" customFormat="1" ht="37.5">
      <c r="A90" s="63">
        <v>1</v>
      </c>
      <c r="B90" s="64" t="s">
        <v>39</v>
      </c>
      <c r="C90" s="65">
        <f>SUM(D90:F92)</f>
        <v>72</v>
      </c>
      <c r="D90" s="66">
        <f>SUM(G90:AD90)</f>
        <v>36</v>
      </c>
      <c r="E90" s="66"/>
      <c r="F90" s="67"/>
      <c r="G90" s="68">
        <v>2</v>
      </c>
      <c r="H90" s="68">
        <v>2</v>
      </c>
      <c r="I90" s="68">
        <v>2</v>
      </c>
      <c r="J90" s="68">
        <v>2</v>
      </c>
      <c r="K90" s="68">
        <v>2</v>
      </c>
      <c r="L90" s="68">
        <v>2</v>
      </c>
      <c r="M90" s="68">
        <v>2</v>
      </c>
      <c r="N90" s="68">
        <v>2</v>
      </c>
      <c r="O90" s="68">
        <v>2</v>
      </c>
      <c r="P90" s="68">
        <v>2</v>
      </c>
      <c r="Q90" s="68">
        <v>2</v>
      </c>
      <c r="R90" s="68">
        <v>2</v>
      </c>
      <c r="S90" s="68">
        <v>2</v>
      </c>
      <c r="T90" s="68">
        <v>2</v>
      </c>
      <c r="U90" s="68">
        <v>2</v>
      </c>
      <c r="V90" s="68">
        <v>2</v>
      </c>
      <c r="W90" s="68">
        <v>2</v>
      </c>
      <c r="X90" s="104">
        <v>2</v>
      </c>
      <c r="Y90" s="65"/>
      <c r="Z90" s="66"/>
      <c r="AA90" s="66"/>
      <c r="AB90" s="66"/>
      <c r="AC90" s="66"/>
      <c r="AD90" s="66"/>
      <c r="AE90" s="67" t="s">
        <v>16</v>
      </c>
    </row>
    <row r="91" spans="1:44" s="4" customFormat="1" ht="19.5">
      <c r="A91" s="70"/>
      <c r="B91" s="71"/>
      <c r="C91" s="72"/>
      <c r="D91" s="73"/>
      <c r="E91" s="73">
        <f>SUM(G91:AD91)</f>
        <v>36</v>
      </c>
      <c r="F91" s="74"/>
      <c r="G91" s="72">
        <v>2</v>
      </c>
      <c r="H91" s="72">
        <v>2</v>
      </c>
      <c r="I91" s="72">
        <v>2</v>
      </c>
      <c r="J91" s="72">
        <v>2</v>
      </c>
      <c r="K91" s="72">
        <v>2</v>
      </c>
      <c r="L91" s="72">
        <v>2</v>
      </c>
      <c r="M91" s="72">
        <v>2</v>
      </c>
      <c r="N91" s="72">
        <v>2</v>
      </c>
      <c r="O91" s="72">
        <v>2</v>
      </c>
      <c r="P91" s="72">
        <v>2</v>
      </c>
      <c r="Q91" s="72">
        <v>2</v>
      </c>
      <c r="R91" s="72">
        <v>2</v>
      </c>
      <c r="S91" s="72">
        <v>2</v>
      </c>
      <c r="T91" s="72">
        <v>2</v>
      </c>
      <c r="U91" s="72">
        <v>2</v>
      </c>
      <c r="V91" s="72">
        <v>2</v>
      </c>
      <c r="W91" s="72">
        <v>2</v>
      </c>
      <c r="X91" s="74">
        <v>2</v>
      </c>
      <c r="Y91" s="72"/>
      <c r="Z91" s="73"/>
      <c r="AA91" s="73"/>
      <c r="AB91" s="73"/>
      <c r="AC91" s="73"/>
      <c r="AD91" s="73"/>
      <c r="AE91" s="77" t="s">
        <v>34</v>
      </c>
    </row>
    <row r="92" spans="1:44" s="4" customFormat="1" ht="21.75" customHeight="1" thickBot="1">
      <c r="A92" s="78"/>
      <c r="B92" s="79"/>
      <c r="C92" s="80"/>
      <c r="D92" s="81"/>
      <c r="E92" s="81"/>
      <c r="F92" s="82">
        <f>SUM(G92:AD92)</f>
        <v>0</v>
      </c>
      <c r="G92" s="80"/>
      <c r="H92" s="81"/>
      <c r="I92" s="81"/>
      <c r="J92" s="80"/>
      <c r="K92" s="80"/>
      <c r="L92" s="81"/>
      <c r="M92" s="81"/>
      <c r="N92" s="81"/>
      <c r="O92" s="81"/>
      <c r="P92" s="81"/>
      <c r="Q92" s="80"/>
      <c r="R92" s="80"/>
      <c r="S92" s="81"/>
      <c r="T92" s="81"/>
      <c r="U92" s="81"/>
      <c r="V92" s="81"/>
      <c r="W92" s="81"/>
      <c r="X92" s="82"/>
      <c r="Y92" s="80"/>
      <c r="Z92" s="81"/>
      <c r="AA92" s="81"/>
      <c r="AB92" s="81"/>
      <c r="AC92" s="81"/>
      <c r="AD92" s="81"/>
      <c r="AE92" s="82">
        <v>36</v>
      </c>
      <c r="AM92" s="11"/>
      <c r="AN92" s="11"/>
      <c r="AO92" s="11"/>
      <c r="AP92" s="11"/>
      <c r="AQ92" s="11"/>
      <c r="AR92" s="11"/>
    </row>
    <row r="93" spans="1:44" s="4" customFormat="1" ht="75">
      <c r="A93" s="63">
        <v>1</v>
      </c>
      <c r="B93" s="64" t="s">
        <v>47</v>
      </c>
      <c r="C93" s="65">
        <f t="shared" ref="C93" si="4">SUM(D93:F95)</f>
        <v>72</v>
      </c>
      <c r="D93" s="66">
        <f t="shared" ref="D93" si="5">SUM(G93:AD93)</f>
        <v>36</v>
      </c>
      <c r="E93" s="66"/>
      <c r="F93" s="67"/>
      <c r="G93" s="68">
        <v>2</v>
      </c>
      <c r="H93" s="68">
        <v>2</v>
      </c>
      <c r="I93" s="68">
        <v>2</v>
      </c>
      <c r="J93" s="68">
        <v>2</v>
      </c>
      <c r="K93" s="68">
        <v>2</v>
      </c>
      <c r="L93" s="68">
        <v>2</v>
      </c>
      <c r="M93" s="68">
        <v>2</v>
      </c>
      <c r="N93" s="68">
        <v>2</v>
      </c>
      <c r="O93" s="68">
        <v>2</v>
      </c>
      <c r="P93" s="68">
        <v>2</v>
      </c>
      <c r="Q93" s="68">
        <v>2</v>
      </c>
      <c r="R93" s="68">
        <v>2</v>
      </c>
      <c r="S93" s="68">
        <v>2</v>
      </c>
      <c r="T93" s="68">
        <v>2</v>
      </c>
      <c r="U93" s="68">
        <v>2</v>
      </c>
      <c r="V93" s="68">
        <v>2</v>
      </c>
      <c r="W93" s="68">
        <v>2</v>
      </c>
      <c r="X93" s="104">
        <v>2</v>
      </c>
      <c r="Y93" s="65"/>
      <c r="Z93" s="66"/>
      <c r="AA93" s="66"/>
      <c r="AB93" s="66"/>
      <c r="AC93" s="66"/>
      <c r="AD93" s="66"/>
      <c r="AE93" s="67" t="s">
        <v>16</v>
      </c>
    </row>
    <row r="94" spans="1:44" s="4" customFormat="1" ht="19.5">
      <c r="A94" s="70"/>
      <c r="B94" s="71"/>
      <c r="C94" s="72"/>
      <c r="D94" s="73"/>
      <c r="E94" s="73">
        <f t="shared" ref="E94" si="6">SUM(G94:AD94)</f>
        <v>36</v>
      </c>
      <c r="F94" s="74"/>
      <c r="G94" s="72">
        <v>2</v>
      </c>
      <c r="H94" s="72">
        <v>2</v>
      </c>
      <c r="I94" s="72">
        <v>2</v>
      </c>
      <c r="J94" s="72">
        <v>2</v>
      </c>
      <c r="K94" s="72">
        <v>2</v>
      </c>
      <c r="L94" s="72">
        <v>2</v>
      </c>
      <c r="M94" s="72">
        <v>2</v>
      </c>
      <c r="N94" s="72">
        <v>2</v>
      </c>
      <c r="O94" s="72">
        <v>2</v>
      </c>
      <c r="P94" s="72">
        <v>2</v>
      </c>
      <c r="Q94" s="72">
        <v>2</v>
      </c>
      <c r="R94" s="72">
        <v>2</v>
      </c>
      <c r="S94" s="72">
        <v>2</v>
      </c>
      <c r="T94" s="72">
        <v>2</v>
      </c>
      <c r="U94" s="72">
        <v>2</v>
      </c>
      <c r="V94" s="72">
        <v>2</v>
      </c>
      <c r="W94" s="72">
        <v>2</v>
      </c>
      <c r="X94" s="74">
        <v>2</v>
      </c>
      <c r="Y94" s="72"/>
      <c r="Z94" s="73"/>
      <c r="AA94" s="73"/>
      <c r="AB94" s="73"/>
      <c r="AC94" s="73"/>
      <c r="AD94" s="73"/>
      <c r="AE94" s="77"/>
    </row>
    <row r="95" spans="1:44" s="4" customFormat="1" ht="21.75" customHeight="1" thickBot="1">
      <c r="A95" s="78"/>
      <c r="B95" s="79"/>
      <c r="C95" s="80"/>
      <c r="D95" s="81"/>
      <c r="E95" s="81"/>
      <c r="F95" s="82">
        <f t="shared" ref="F95" si="7">SUM(G95:AD95)</f>
        <v>0</v>
      </c>
      <c r="G95" s="80"/>
      <c r="H95" s="81"/>
      <c r="I95" s="81"/>
      <c r="J95" s="80"/>
      <c r="K95" s="80"/>
      <c r="L95" s="81"/>
      <c r="M95" s="81"/>
      <c r="N95" s="81"/>
      <c r="O95" s="81"/>
      <c r="P95" s="81"/>
      <c r="Q95" s="80"/>
      <c r="R95" s="80"/>
      <c r="S95" s="81"/>
      <c r="T95" s="81"/>
      <c r="U95" s="81"/>
      <c r="V95" s="81"/>
      <c r="W95" s="81"/>
      <c r="X95" s="82"/>
      <c r="Y95" s="80"/>
      <c r="Z95" s="81"/>
      <c r="AA95" s="81"/>
      <c r="AB95" s="81"/>
      <c r="AC95" s="81"/>
      <c r="AD95" s="81"/>
      <c r="AE95" s="82">
        <v>36</v>
      </c>
      <c r="AM95" s="11"/>
      <c r="AN95" s="11"/>
      <c r="AO95" s="11"/>
      <c r="AP95" s="11"/>
      <c r="AQ95" s="11"/>
      <c r="AR95" s="11"/>
    </row>
    <row r="96" spans="1:44" s="4" customFormat="1" ht="19.5">
      <c r="A96" s="83">
        <v>1</v>
      </c>
      <c r="B96" s="84" t="s">
        <v>48</v>
      </c>
      <c r="C96" s="65">
        <f t="shared" ref="C96" si="8">SUM(D96:F98)</f>
        <v>36</v>
      </c>
      <c r="D96" s="66">
        <f t="shared" ref="D96" si="9">SUM(G96:AD96)</f>
        <v>18</v>
      </c>
      <c r="E96" s="66"/>
      <c r="F96" s="67"/>
      <c r="G96" s="68">
        <v>2</v>
      </c>
      <c r="H96" s="69"/>
      <c r="I96" s="69">
        <v>2</v>
      </c>
      <c r="J96" s="68"/>
      <c r="K96" s="65">
        <v>2</v>
      </c>
      <c r="L96" s="66"/>
      <c r="M96" s="66">
        <v>2</v>
      </c>
      <c r="N96" s="66"/>
      <c r="O96" s="66">
        <v>2</v>
      </c>
      <c r="P96" s="66"/>
      <c r="Q96" s="65">
        <v>2</v>
      </c>
      <c r="R96" s="65"/>
      <c r="S96" s="66">
        <v>2</v>
      </c>
      <c r="T96" s="66"/>
      <c r="U96" s="66">
        <v>2</v>
      </c>
      <c r="V96" s="66"/>
      <c r="W96" s="66">
        <v>2</v>
      </c>
      <c r="X96" s="67"/>
      <c r="Y96" s="65"/>
      <c r="Z96" s="66"/>
      <c r="AA96" s="66"/>
      <c r="AB96" s="66"/>
      <c r="AC96" s="66"/>
      <c r="AD96" s="66"/>
      <c r="AE96" s="67" t="s">
        <v>29</v>
      </c>
      <c r="AM96" s="11"/>
      <c r="AN96" s="11"/>
      <c r="AO96" s="11"/>
      <c r="AP96" s="11"/>
      <c r="AQ96" s="11"/>
      <c r="AR96" s="11"/>
    </row>
    <row r="97" spans="1:44" s="4" customFormat="1">
      <c r="A97" s="85"/>
      <c r="B97" s="86"/>
      <c r="C97" s="72"/>
      <c r="D97" s="73"/>
      <c r="E97" s="73">
        <f t="shared" ref="E97" si="10">SUM(G97:AD97)</f>
        <v>18</v>
      </c>
      <c r="F97" s="74"/>
      <c r="G97" s="100"/>
      <c r="H97" s="73">
        <v>2</v>
      </c>
      <c r="I97" s="72"/>
      <c r="J97" s="73">
        <v>2</v>
      </c>
      <c r="K97" s="72"/>
      <c r="L97" s="73">
        <v>2</v>
      </c>
      <c r="M97" s="73"/>
      <c r="N97" s="73">
        <v>2</v>
      </c>
      <c r="O97" s="73"/>
      <c r="P97" s="73">
        <v>2</v>
      </c>
      <c r="Q97" s="72"/>
      <c r="R97" s="72">
        <v>2</v>
      </c>
      <c r="S97" s="73"/>
      <c r="T97" s="73">
        <v>2</v>
      </c>
      <c r="U97" s="73"/>
      <c r="V97" s="73">
        <v>2</v>
      </c>
      <c r="W97" s="73"/>
      <c r="X97" s="74">
        <v>2</v>
      </c>
      <c r="Y97" s="72"/>
      <c r="Z97" s="73"/>
      <c r="AA97" s="73"/>
      <c r="AB97" s="73"/>
      <c r="AC97" s="73"/>
      <c r="AD97" s="73"/>
      <c r="AE97" s="77"/>
      <c r="AM97" s="12"/>
      <c r="AN97" s="101"/>
      <c r="AO97" s="167"/>
      <c r="AP97" s="167"/>
      <c r="AQ97" s="11"/>
      <c r="AR97" s="11"/>
    </row>
    <row r="98" spans="1:44" s="4" customFormat="1" ht="19.5" thickBot="1">
      <c r="A98" s="89"/>
      <c r="B98" s="90"/>
      <c r="C98" s="80"/>
      <c r="D98" s="81"/>
      <c r="E98" s="81"/>
      <c r="F98" s="82">
        <f t="shared" ref="F98" si="11">SUM(G98:AD98)</f>
        <v>0</v>
      </c>
      <c r="G98" s="87"/>
      <c r="H98" s="88"/>
      <c r="I98" s="87"/>
      <c r="J98" s="80"/>
      <c r="K98" s="87"/>
      <c r="L98" s="73"/>
      <c r="M98" s="73"/>
      <c r="N98" s="73"/>
      <c r="O98" s="73"/>
      <c r="P98" s="73"/>
      <c r="Q98" s="72"/>
      <c r="R98" s="72"/>
      <c r="S98" s="73"/>
      <c r="T98" s="73"/>
      <c r="U98" s="73"/>
      <c r="V98" s="73"/>
      <c r="W98" s="73"/>
      <c r="X98" s="74"/>
      <c r="Y98" s="72"/>
      <c r="Z98" s="73"/>
      <c r="AA98" s="73"/>
      <c r="AB98" s="73"/>
      <c r="AC98" s="73"/>
      <c r="AD98" s="73"/>
      <c r="AE98" s="82">
        <v>9</v>
      </c>
      <c r="AM98" s="12"/>
      <c r="AN98" s="101"/>
      <c r="AO98" s="167"/>
      <c r="AP98" s="167"/>
      <c r="AQ98" s="11"/>
      <c r="AR98" s="11"/>
    </row>
    <row r="99" spans="1:44" s="4" customFormat="1" ht="37.5">
      <c r="A99" s="83">
        <v>1</v>
      </c>
      <c r="B99" s="84" t="s">
        <v>49</v>
      </c>
      <c r="C99" s="65">
        <f t="shared" ref="C99" si="12">SUM(D99:F101)</f>
        <v>72</v>
      </c>
      <c r="D99" s="66">
        <f t="shared" ref="D99" si="13">SUM(G99:AD99)</f>
        <v>36</v>
      </c>
      <c r="E99" s="66"/>
      <c r="F99" s="67"/>
      <c r="G99" s="68">
        <v>2</v>
      </c>
      <c r="H99" s="68">
        <v>2</v>
      </c>
      <c r="I99" s="68">
        <v>2</v>
      </c>
      <c r="J99" s="68">
        <v>2</v>
      </c>
      <c r="K99" s="68">
        <v>2</v>
      </c>
      <c r="L99" s="68">
        <v>2</v>
      </c>
      <c r="M99" s="68">
        <v>2</v>
      </c>
      <c r="N99" s="68">
        <v>2</v>
      </c>
      <c r="O99" s="68">
        <v>2</v>
      </c>
      <c r="P99" s="68">
        <v>2</v>
      </c>
      <c r="Q99" s="68">
        <v>2</v>
      </c>
      <c r="R99" s="68">
        <v>2</v>
      </c>
      <c r="S99" s="68">
        <v>2</v>
      </c>
      <c r="T99" s="68">
        <v>2</v>
      </c>
      <c r="U99" s="68">
        <v>2</v>
      </c>
      <c r="V99" s="68">
        <v>2</v>
      </c>
      <c r="W99" s="68">
        <v>2</v>
      </c>
      <c r="X99" s="104">
        <v>2</v>
      </c>
      <c r="Y99" s="65"/>
      <c r="Z99" s="66"/>
      <c r="AA99" s="66"/>
      <c r="AB99" s="66"/>
      <c r="AC99" s="66"/>
      <c r="AD99" s="66"/>
      <c r="AE99" s="67" t="s">
        <v>29</v>
      </c>
      <c r="AM99" s="11"/>
      <c r="AN99" s="11"/>
      <c r="AO99" s="11"/>
      <c r="AP99" s="11"/>
      <c r="AQ99" s="11"/>
      <c r="AR99" s="11"/>
    </row>
    <row r="100" spans="1:44" s="4" customFormat="1">
      <c r="A100" s="85"/>
      <c r="B100" s="86"/>
      <c r="C100" s="72"/>
      <c r="D100" s="73"/>
      <c r="E100" s="73">
        <f t="shared" ref="E100" si="14">SUM(G100:AD100)</f>
        <v>36</v>
      </c>
      <c r="F100" s="74"/>
      <c r="G100" s="72">
        <v>2</v>
      </c>
      <c r="H100" s="72">
        <v>2</v>
      </c>
      <c r="I100" s="72">
        <v>2</v>
      </c>
      <c r="J100" s="72">
        <v>2</v>
      </c>
      <c r="K100" s="72">
        <v>2</v>
      </c>
      <c r="L100" s="72">
        <v>2</v>
      </c>
      <c r="M100" s="72">
        <v>2</v>
      </c>
      <c r="N100" s="72">
        <v>2</v>
      </c>
      <c r="O100" s="72">
        <v>2</v>
      </c>
      <c r="P100" s="72">
        <v>2</v>
      </c>
      <c r="Q100" s="72">
        <v>2</v>
      </c>
      <c r="R100" s="72">
        <v>2</v>
      </c>
      <c r="S100" s="72">
        <v>2</v>
      </c>
      <c r="T100" s="72">
        <v>2</v>
      </c>
      <c r="U100" s="72">
        <v>2</v>
      </c>
      <c r="V100" s="72">
        <v>2</v>
      </c>
      <c r="W100" s="72">
        <v>2</v>
      </c>
      <c r="X100" s="74">
        <v>2</v>
      </c>
      <c r="Y100" s="72"/>
      <c r="Z100" s="73"/>
      <c r="AA100" s="73"/>
      <c r="AB100" s="73"/>
      <c r="AC100" s="73"/>
      <c r="AD100" s="73"/>
      <c r="AE100" s="77"/>
      <c r="AM100" s="12"/>
      <c r="AN100" s="101"/>
      <c r="AO100" s="167"/>
      <c r="AP100" s="167"/>
      <c r="AQ100" s="11"/>
      <c r="AR100" s="11"/>
    </row>
    <row r="101" spans="1:44" s="4" customFormat="1" ht="19.5" thickBot="1">
      <c r="A101" s="89"/>
      <c r="B101" s="90"/>
      <c r="C101" s="80"/>
      <c r="D101" s="81"/>
      <c r="E101" s="81"/>
      <c r="F101" s="82">
        <f t="shared" ref="F101" si="15">SUM(G101:AD101)</f>
        <v>0</v>
      </c>
      <c r="G101" s="80"/>
      <c r="H101" s="81"/>
      <c r="I101" s="81"/>
      <c r="J101" s="80"/>
      <c r="K101" s="80"/>
      <c r="L101" s="81"/>
      <c r="M101" s="81"/>
      <c r="N101" s="81"/>
      <c r="O101" s="81"/>
      <c r="P101" s="81"/>
      <c r="Q101" s="87"/>
      <c r="R101" s="87"/>
      <c r="S101" s="88"/>
      <c r="T101" s="88"/>
      <c r="U101" s="88"/>
      <c r="V101" s="88"/>
      <c r="W101" s="88"/>
      <c r="X101" s="93"/>
      <c r="Y101" s="87"/>
      <c r="Z101" s="88"/>
      <c r="AA101" s="88"/>
      <c r="AB101" s="88"/>
      <c r="AC101" s="88"/>
      <c r="AD101" s="88"/>
      <c r="AE101" s="82">
        <v>9</v>
      </c>
      <c r="AM101" s="12"/>
      <c r="AN101" s="101"/>
      <c r="AO101" s="167"/>
      <c r="AP101" s="167"/>
      <c r="AQ101" s="11"/>
      <c r="AR101" s="11"/>
    </row>
    <row r="102" spans="1:44" s="4" customFormat="1" ht="56.25">
      <c r="A102" s="83">
        <v>1</v>
      </c>
      <c r="B102" s="84" t="s">
        <v>50</v>
      </c>
      <c r="C102" s="65">
        <f t="shared" ref="C102" si="16">SUM(D102:F104)</f>
        <v>54</v>
      </c>
      <c r="D102" s="66">
        <f t="shared" ref="D102" si="17">SUM(G102:AD102)</f>
        <v>18</v>
      </c>
      <c r="E102" s="66"/>
      <c r="F102" s="67"/>
      <c r="G102" s="68">
        <v>2</v>
      </c>
      <c r="H102" s="69"/>
      <c r="I102" s="69">
        <v>2</v>
      </c>
      <c r="J102" s="68"/>
      <c r="K102" s="65">
        <v>2</v>
      </c>
      <c r="L102" s="66"/>
      <c r="M102" s="66">
        <v>2</v>
      </c>
      <c r="N102" s="66"/>
      <c r="O102" s="66">
        <v>2</v>
      </c>
      <c r="P102" s="66"/>
      <c r="Q102" s="65">
        <v>2</v>
      </c>
      <c r="R102" s="65"/>
      <c r="S102" s="66">
        <v>2</v>
      </c>
      <c r="T102" s="66"/>
      <c r="U102" s="66">
        <v>2</v>
      </c>
      <c r="V102" s="66"/>
      <c r="W102" s="66">
        <v>2</v>
      </c>
      <c r="X102" s="67"/>
      <c r="Y102" s="65"/>
      <c r="Z102" s="66"/>
      <c r="AA102" s="66"/>
      <c r="AB102" s="66"/>
      <c r="AC102" s="66"/>
      <c r="AD102" s="66"/>
      <c r="AE102" s="67" t="s">
        <v>29</v>
      </c>
      <c r="AM102" s="11"/>
      <c r="AN102" s="11"/>
      <c r="AO102" s="11"/>
      <c r="AP102" s="11"/>
      <c r="AQ102" s="11"/>
      <c r="AR102" s="11"/>
    </row>
    <row r="103" spans="1:44" s="4" customFormat="1">
      <c r="A103" s="85"/>
      <c r="B103" s="86"/>
      <c r="C103" s="72"/>
      <c r="D103" s="73"/>
      <c r="E103" s="73">
        <f t="shared" ref="E103" si="18">SUM(G103:AD103)</f>
        <v>36</v>
      </c>
      <c r="F103" s="74"/>
      <c r="G103" s="100">
        <v>2</v>
      </c>
      <c r="H103" s="100">
        <v>2</v>
      </c>
      <c r="I103" s="100">
        <v>2</v>
      </c>
      <c r="J103" s="100">
        <v>2</v>
      </c>
      <c r="K103" s="100">
        <v>2</v>
      </c>
      <c r="L103" s="100">
        <v>2</v>
      </c>
      <c r="M103" s="100">
        <v>2</v>
      </c>
      <c r="N103" s="100">
        <v>2</v>
      </c>
      <c r="O103" s="100">
        <v>2</v>
      </c>
      <c r="P103" s="100">
        <v>2</v>
      </c>
      <c r="Q103" s="100">
        <v>2</v>
      </c>
      <c r="R103" s="100">
        <v>2</v>
      </c>
      <c r="S103" s="100">
        <v>2</v>
      </c>
      <c r="T103" s="100">
        <v>2</v>
      </c>
      <c r="U103" s="100">
        <v>2</v>
      </c>
      <c r="V103" s="100">
        <v>2</v>
      </c>
      <c r="W103" s="100">
        <v>2</v>
      </c>
      <c r="X103" s="106">
        <v>2</v>
      </c>
      <c r="Y103" s="72"/>
      <c r="Z103" s="73"/>
      <c r="AA103" s="73"/>
      <c r="AB103" s="73"/>
      <c r="AC103" s="73"/>
      <c r="AD103" s="73"/>
      <c r="AE103" s="77"/>
      <c r="AM103" s="12"/>
      <c r="AN103" s="101"/>
      <c r="AO103" s="167"/>
      <c r="AP103" s="167"/>
      <c r="AQ103" s="11"/>
      <c r="AR103" s="11"/>
    </row>
    <row r="104" spans="1:44" s="4" customFormat="1" ht="19.5" thickBot="1">
      <c r="A104" s="89"/>
      <c r="B104" s="90"/>
      <c r="C104" s="80"/>
      <c r="D104" s="81"/>
      <c r="E104" s="81"/>
      <c r="F104" s="82">
        <f t="shared" ref="F104" si="19">SUM(G104:AD104)</f>
        <v>0</v>
      </c>
      <c r="G104" s="87"/>
      <c r="H104" s="88"/>
      <c r="I104" s="87"/>
      <c r="J104" s="88"/>
      <c r="K104" s="87"/>
      <c r="L104" s="88"/>
      <c r="M104" s="88"/>
      <c r="N104" s="88"/>
      <c r="O104" s="88"/>
      <c r="P104" s="88"/>
      <c r="Q104" s="87"/>
      <c r="R104" s="87"/>
      <c r="S104" s="88"/>
      <c r="T104" s="88"/>
      <c r="U104" s="88"/>
      <c r="V104" s="88"/>
      <c r="W104" s="88"/>
      <c r="X104" s="93"/>
      <c r="Y104" s="87"/>
      <c r="Z104" s="88"/>
      <c r="AA104" s="88"/>
      <c r="AB104" s="88"/>
      <c r="AC104" s="88"/>
      <c r="AD104" s="88"/>
      <c r="AE104" s="82">
        <v>9</v>
      </c>
      <c r="AM104" s="12"/>
      <c r="AN104" s="101"/>
      <c r="AO104" s="167"/>
      <c r="AP104" s="167"/>
      <c r="AQ104" s="11"/>
      <c r="AR104" s="11"/>
    </row>
    <row r="105" spans="1:44" ht="75">
      <c r="A105" s="83">
        <v>1</v>
      </c>
      <c r="B105" s="84" t="s">
        <v>51</v>
      </c>
      <c r="C105" s="65">
        <f t="shared" ref="C105" si="20">SUM(D105:F107)</f>
        <v>54</v>
      </c>
      <c r="D105" s="66">
        <f t="shared" ref="D105" si="21">SUM(G105:AD105)</f>
        <v>18</v>
      </c>
      <c r="E105" s="66"/>
      <c r="F105" s="67"/>
      <c r="G105" s="68">
        <v>2</v>
      </c>
      <c r="H105" s="69"/>
      <c r="I105" s="69">
        <v>2</v>
      </c>
      <c r="J105" s="68"/>
      <c r="K105" s="65">
        <v>2</v>
      </c>
      <c r="L105" s="66"/>
      <c r="M105" s="66">
        <v>2</v>
      </c>
      <c r="N105" s="66"/>
      <c r="O105" s="66">
        <v>2</v>
      </c>
      <c r="P105" s="66"/>
      <c r="Q105" s="65">
        <v>2</v>
      </c>
      <c r="R105" s="65"/>
      <c r="S105" s="66">
        <v>2</v>
      </c>
      <c r="T105" s="66"/>
      <c r="U105" s="66">
        <v>2</v>
      </c>
      <c r="V105" s="66"/>
      <c r="W105" s="66">
        <v>2</v>
      </c>
      <c r="X105" s="67"/>
      <c r="Y105" s="65"/>
      <c r="Z105" s="66"/>
      <c r="AA105" s="66"/>
      <c r="AB105" s="66"/>
      <c r="AC105" s="66"/>
      <c r="AD105" s="66"/>
      <c r="AE105" s="67" t="s">
        <v>15</v>
      </c>
    </row>
    <row r="106" spans="1:44">
      <c r="A106" s="85"/>
      <c r="B106" s="86"/>
      <c r="C106" s="72"/>
      <c r="D106" s="73"/>
      <c r="E106" s="73">
        <f t="shared" ref="E106" si="22">SUM(G106:AD106)</f>
        <v>36</v>
      </c>
      <c r="F106" s="74"/>
      <c r="G106" s="100">
        <v>2</v>
      </c>
      <c r="H106" s="100">
        <v>2</v>
      </c>
      <c r="I106" s="100">
        <v>2</v>
      </c>
      <c r="J106" s="73">
        <v>2</v>
      </c>
      <c r="K106" s="100">
        <v>2</v>
      </c>
      <c r="L106" s="100">
        <v>2</v>
      </c>
      <c r="M106" s="100">
        <v>2</v>
      </c>
      <c r="N106" s="100">
        <v>2</v>
      </c>
      <c r="O106" s="100">
        <v>2</v>
      </c>
      <c r="P106" s="100">
        <v>2</v>
      </c>
      <c r="Q106" s="100">
        <v>2</v>
      </c>
      <c r="R106" s="100">
        <v>2</v>
      </c>
      <c r="S106" s="100">
        <v>2</v>
      </c>
      <c r="T106" s="100">
        <v>2</v>
      </c>
      <c r="U106" s="100">
        <v>2</v>
      </c>
      <c r="V106" s="100">
        <v>2</v>
      </c>
      <c r="W106" s="100">
        <v>2</v>
      </c>
      <c r="X106" s="106">
        <v>2</v>
      </c>
      <c r="Y106" s="72"/>
      <c r="Z106" s="73"/>
      <c r="AA106" s="73"/>
      <c r="AB106" s="73"/>
      <c r="AC106" s="73"/>
      <c r="AD106" s="73"/>
      <c r="AE106" s="77"/>
    </row>
    <row r="107" spans="1:44" ht="19.5" thickBot="1">
      <c r="A107" s="89"/>
      <c r="B107" s="90"/>
      <c r="C107" s="80"/>
      <c r="D107" s="81"/>
      <c r="E107" s="81"/>
      <c r="F107" s="82">
        <f t="shared" ref="F107" si="23">SUM(G107:AD107)</f>
        <v>0</v>
      </c>
      <c r="G107" s="87"/>
      <c r="H107" s="88"/>
      <c r="I107" s="87"/>
      <c r="J107" s="80"/>
      <c r="K107" s="87"/>
      <c r="L107" s="88"/>
      <c r="M107" s="88"/>
      <c r="N107" s="88"/>
      <c r="O107" s="88"/>
      <c r="P107" s="88"/>
      <c r="Q107" s="87"/>
      <c r="R107" s="87"/>
      <c r="S107" s="88"/>
      <c r="T107" s="88"/>
      <c r="U107" s="88"/>
      <c r="V107" s="88"/>
      <c r="W107" s="88"/>
      <c r="X107" s="93"/>
      <c r="Y107" s="87"/>
      <c r="Z107" s="88"/>
      <c r="AA107" s="88"/>
      <c r="AB107" s="88"/>
      <c r="AC107" s="88"/>
      <c r="AD107" s="88"/>
      <c r="AE107" s="82">
        <v>9</v>
      </c>
    </row>
    <row r="108" spans="1:44" ht="19.5">
      <c r="A108" s="83">
        <v>1</v>
      </c>
      <c r="B108" s="84" t="s">
        <v>52</v>
      </c>
      <c r="C108" s="65">
        <f t="shared" ref="C108" si="24">SUM(D108:F110)</f>
        <v>36</v>
      </c>
      <c r="D108" s="66">
        <f t="shared" ref="D108" si="25">SUM(G108:AD108)</f>
        <v>18</v>
      </c>
      <c r="E108" s="66"/>
      <c r="F108" s="67"/>
      <c r="G108" s="68">
        <v>2</v>
      </c>
      <c r="H108" s="69"/>
      <c r="I108" s="69">
        <v>2</v>
      </c>
      <c r="J108" s="68"/>
      <c r="K108" s="65">
        <v>2</v>
      </c>
      <c r="L108" s="66"/>
      <c r="M108" s="66">
        <v>2</v>
      </c>
      <c r="N108" s="66"/>
      <c r="O108" s="66">
        <v>2</v>
      </c>
      <c r="P108" s="66"/>
      <c r="Q108" s="65">
        <v>2</v>
      </c>
      <c r="R108" s="65"/>
      <c r="S108" s="66">
        <v>2</v>
      </c>
      <c r="T108" s="66"/>
      <c r="U108" s="66">
        <v>2</v>
      </c>
      <c r="V108" s="66"/>
      <c r="W108" s="66">
        <v>2</v>
      </c>
      <c r="X108" s="67"/>
      <c r="Y108" s="65"/>
      <c r="Z108" s="66"/>
      <c r="AA108" s="66"/>
      <c r="AB108" s="66"/>
      <c r="AC108" s="66"/>
      <c r="AD108" s="66"/>
      <c r="AE108" s="67" t="s">
        <v>16</v>
      </c>
    </row>
    <row r="109" spans="1:44">
      <c r="A109" s="85"/>
      <c r="B109" s="86"/>
      <c r="C109" s="72"/>
      <c r="D109" s="73"/>
      <c r="E109" s="73">
        <f t="shared" ref="E109" si="26">SUM(G109:AD109)</f>
        <v>18</v>
      </c>
      <c r="F109" s="74"/>
      <c r="G109" s="100"/>
      <c r="H109" s="73">
        <v>2</v>
      </c>
      <c r="I109" s="72"/>
      <c r="J109" s="73">
        <v>2</v>
      </c>
      <c r="K109" s="72"/>
      <c r="L109" s="73">
        <v>2</v>
      </c>
      <c r="M109" s="73"/>
      <c r="N109" s="73">
        <v>2</v>
      </c>
      <c r="O109" s="73"/>
      <c r="P109" s="73">
        <v>2</v>
      </c>
      <c r="Q109" s="72"/>
      <c r="R109" s="72">
        <v>2</v>
      </c>
      <c r="S109" s="73"/>
      <c r="T109" s="73">
        <v>2</v>
      </c>
      <c r="U109" s="73"/>
      <c r="V109" s="73">
        <v>2</v>
      </c>
      <c r="W109" s="73"/>
      <c r="X109" s="74">
        <v>2</v>
      </c>
      <c r="Y109" s="72"/>
      <c r="Z109" s="73"/>
      <c r="AA109" s="73"/>
      <c r="AB109" s="73"/>
      <c r="AC109" s="73"/>
      <c r="AD109" s="73"/>
      <c r="AE109" s="77"/>
    </row>
    <row r="110" spans="1:44" ht="19.5" thickBot="1">
      <c r="A110" s="89"/>
      <c r="B110" s="90"/>
      <c r="C110" s="80"/>
      <c r="D110" s="81"/>
      <c r="E110" s="81"/>
      <c r="F110" s="82">
        <f t="shared" ref="F110" si="27">SUM(G110:AD110)</f>
        <v>0</v>
      </c>
      <c r="G110" s="87"/>
      <c r="H110" s="88"/>
      <c r="I110" s="87"/>
      <c r="J110" s="80"/>
      <c r="K110" s="87"/>
      <c r="L110" s="88"/>
      <c r="M110" s="88"/>
      <c r="N110" s="88"/>
      <c r="O110" s="88"/>
      <c r="P110" s="88"/>
      <c r="Q110" s="87"/>
      <c r="R110" s="87"/>
      <c r="S110" s="88"/>
      <c r="T110" s="88"/>
      <c r="U110" s="88"/>
      <c r="V110" s="88"/>
      <c r="W110" s="88"/>
      <c r="X110" s="93"/>
      <c r="Y110" s="87"/>
      <c r="Z110" s="88"/>
      <c r="AA110" s="88"/>
      <c r="AB110" s="88"/>
      <c r="AC110" s="88"/>
      <c r="AD110" s="88"/>
      <c r="AE110" s="82">
        <v>36</v>
      </c>
    </row>
    <row r="111" spans="1:44" ht="42.75" customHeight="1">
      <c r="A111" s="164" t="s">
        <v>59</v>
      </c>
      <c r="B111" s="165"/>
      <c r="C111" s="165"/>
      <c r="D111" s="165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6"/>
    </row>
    <row r="112" spans="1:44" s="4" customFormat="1" ht="30" customHeight="1" thickBot="1">
      <c r="A112" s="159" t="s">
        <v>63</v>
      </c>
      <c r="B112" s="159"/>
      <c r="C112" s="159"/>
      <c r="D112" s="159"/>
      <c r="E112" s="159"/>
      <c r="F112" s="159"/>
      <c r="G112" s="159"/>
      <c r="H112" s="159"/>
      <c r="I112" s="159"/>
      <c r="J112" s="159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0"/>
      <c r="W112" s="160"/>
      <c r="X112" s="160"/>
      <c r="Y112" s="160"/>
      <c r="Z112" s="159"/>
      <c r="AA112" s="159"/>
      <c r="AB112" s="159"/>
      <c r="AC112" s="159"/>
      <c r="AD112" s="159"/>
      <c r="AE112" s="159"/>
    </row>
    <row r="113" spans="1:44" s="4" customFormat="1" ht="19.5">
      <c r="A113" s="63">
        <v>1</v>
      </c>
      <c r="B113" s="64" t="s">
        <v>23</v>
      </c>
      <c r="C113" s="65">
        <f>SUM(D113:F115)</f>
        <v>60</v>
      </c>
      <c r="D113" s="66">
        <f>SUM(G113:M113,Z113:AC113)</f>
        <v>52</v>
      </c>
      <c r="E113" s="66"/>
      <c r="F113" s="67"/>
      <c r="G113" s="68">
        <v>4</v>
      </c>
      <c r="H113" s="69">
        <v>6</v>
      </c>
      <c r="I113" s="69">
        <v>4</v>
      </c>
      <c r="J113" s="68">
        <v>6</v>
      </c>
      <c r="K113" s="65">
        <v>4</v>
      </c>
      <c r="L113" s="107">
        <v>6</v>
      </c>
      <c r="M113" s="108">
        <v>4</v>
      </c>
      <c r="N113" s="201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3"/>
      <c r="Z113" s="65">
        <v>6</v>
      </c>
      <c r="AA113" s="66">
        <v>4</v>
      </c>
      <c r="AB113" s="66">
        <v>4</v>
      </c>
      <c r="AC113" s="67">
        <v>4</v>
      </c>
      <c r="AD113" s="65"/>
      <c r="AE113" s="67" t="s">
        <v>64</v>
      </c>
    </row>
    <row r="114" spans="1:44" s="4" customFormat="1" ht="19.5">
      <c r="A114" s="70"/>
      <c r="B114" s="71"/>
      <c r="C114" s="72"/>
      <c r="D114" s="73"/>
      <c r="E114" s="73">
        <f>SUM(G114:M114,Z114:AC114)</f>
        <v>8</v>
      </c>
      <c r="F114" s="74"/>
      <c r="G114" s="72"/>
      <c r="H114" s="73">
        <v>2</v>
      </c>
      <c r="I114" s="73"/>
      <c r="J114" s="72">
        <v>2</v>
      </c>
      <c r="K114" s="75"/>
      <c r="L114" s="109">
        <v>2</v>
      </c>
      <c r="M114" s="110"/>
      <c r="N114" s="204"/>
      <c r="O114" s="160"/>
      <c r="P114" s="160"/>
      <c r="Q114" s="160"/>
      <c r="R114" s="160"/>
      <c r="S114" s="160"/>
      <c r="T114" s="160"/>
      <c r="U114" s="160"/>
      <c r="V114" s="160"/>
      <c r="W114" s="160"/>
      <c r="X114" s="160"/>
      <c r="Y114" s="205"/>
      <c r="Z114" s="72"/>
      <c r="AA114" s="73">
        <v>2</v>
      </c>
      <c r="AB114" s="73"/>
      <c r="AC114" s="74"/>
      <c r="AD114" s="72"/>
      <c r="AE114" s="77"/>
    </row>
    <row r="115" spans="1:44" s="4" customFormat="1" ht="21.75" customHeight="1" thickBot="1">
      <c r="A115" s="78"/>
      <c r="B115" s="79"/>
      <c r="C115" s="80"/>
      <c r="D115" s="81"/>
      <c r="E115" s="81"/>
      <c r="F115" s="82">
        <f>SUM(G115:M115,Z115:AC115)</f>
        <v>0</v>
      </c>
      <c r="G115" s="80"/>
      <c r="H115" s="81"/>
      <c r="I115" s="81"/>
      <c r="J115" s="80"/>
      <c r="K115" s="80"/>
      <c r="L115" s="111"/>
      <c r="M115" s="112"/>
      <c r="N115" s="206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8"/>
      <c r="Z115" s="80"/>
      <c r="AA115" s="81"/>
      <c r="AB115" s="81"/>
      <c r="AC115" s="82"/>
      <c r="AD115" s="80"/>
      <c r="AE115" s="82">
        <v>27</v>
      </c>
      <c r="AM115" s="11"/>
      <c r="AN115" s="11"/>
      <c r="AO115" s="11"/>
      <c r="AP115" s="11"/>
      <c r="AQ115" s="11"/>
      <c r="AR115" s="11"/>
    </row>
    <row r="116" spans="1:44" s="4" customFormat="1" ht="19.5" thickBot="1">
      <c r="A116" s="168" t="s">
        <v>60</v>
      </c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69"/>
      <c r="AE116" s="170"/>
      <c r="AM116" s="12"/>
      <c r="AN116" s="13"/>
      <c r="AO116" s="167"/>
      <c r="AP116" s="167"/>
      <c r="AQ116" s="11"/>
      <c r="AR116" s="11"/>
    </row>
    <row r="117" spans="1:44" s="4" customFormat="1" ht="37.5">
      <c r="A117" s="63">
        <v>1</v>
      </c>
      <c r="B117" s="64" t="s">
        <v>54</v>
      </c>
      <c r="C117" s="65">
        <f>SUM(D117:F119)</f>
        <v>90</v>
      </c>
      <c r="D117" s="66">
        <f>SUM(G117:X117)</f>
        <v>36</v>
      </c>
      <c r="E117" s="66"/>
      <c r="F117" s="67"/>
      <c r="G117" s="68">
        <v>2</v>
      </c>
      <c r="H117" s="68">
        <v>2</v>
      </c>
      <c r="I117" s="68">
        <v>2</v>
      </c>
      <c r="J117" s="68">
        <v>2</v>
      </c>
      <c r="K117" s="68">
        <v>2</v>
      </c>
      <c r="L117" s="68">
        <v>2</v>
      </c>
      <c r="M117" s="68">
        <v>2</v>
      </c>
      <c r="N117" s="68">
        <v>2</v>
      </c>
      <c r="O117" s="68">
        <v>2</v>
      </c>
      <c r="P117" s="68">
        <v>2</v>
      </c>
      <c r="Q117" s="68">
        <v>2</v>
      </c>
      <c r="R117" s="68">
        <v>2</v>
      </c>
      <c r="S117" s="68">
        <v>2</v>
      </c>
      <c r="T117" s="68">
        <v>2</v>
      </c>
      <c r="U117" s="68">
        <v>2</v>
      </c>
      <c r="V117" s="68">
        <v>2</v>
      </c>
      <c r="W117" s="68">
        <v>2</v>
      </c>
      <c r="X117" s="104">
        <v>2</v>
      </c>
      <c r="Y117" s="65"/>
      <c r="Z117" s="66"/>
      <c r="AA117" s="66"/>
      <c r="AB117" s="66"/>
      <c r="AC117" s="66"/>
      <c r="AD117" s="66"/>
      <c r="AE117" s="67" t="s">
        <v>15</v>
      </c>
    </row>
    <row r="118" spans="1:44" s="4" customFormat="1" ht="19.5">
      <c r="A118" s="70"/>
      <c r="B118" s="71"/>
      <c r="C118" s="72"/>
      <c r="D118" s="73"/>
      <c r="E118" s="73">
        <f>SUM(G118:X118)</f>
        <v>54</v>
      </c>
      <c r="F118" s="74"/>
      <c r="G118" s="72">
        <v>2</v>
      </c>
      <c r="H118" s="72">
        <v>4</v>
      </c>
      <c r="I118" s="72">
        <v>2</v>
      </c>
      <c r="J118" s="72">
        <v>4</v>
      </c>
      <c r="K118" s="72">
        <v>2</v>
      </c>
      <c r="L118" s="72">
        <v>4</v>
      </c>
      <c r="M118" s="72">
        <v>2</v>
      </c>
      <c r="N118" s="72">
        <v>4</v>
      </c>
      <c r="O118" s="72">
        <v>2</v>
      </c>
      <c r="P118" s="72">
        <v>4</v>
      </c>
      <c r="Q118" s="72">
        <v>2</v>
      </c>
      <c r="R118" s="72">
        <v>4</v>
      </c>
      <c r="S118" s="72">
        <v>2</v>
      </c>
      <c r="T118" s="72">
        <v>4</v>
      </c>
      <c r="U118" s="72">
        <v>2</v>
      </c>
      <c r="V118" s="72">
        <v>4</v>
      </c>
      <c r="W118" s="72">
        <v>2</v>
      </c>
      <c r="X118" s="74">
        <v>4</v>
      </c>
      <c r="Y118" s="72"/>
      <c r="Z118" s="73"/>
      <c r="AA118" s="73"/>
      <c r="AB118" s="73"/>
      <c r="AC118" s="73"/>
      <c r="AD118" s="73"/>
      <c r="AE118" s="77"/>
    </row>
    <row r="119" spans="1:44" s="4" customFormat="1" ht="21.75" customHeight="1" thickBot="1">
      <c r="A119" s="78"/>
      <c r="B119" s="79"/>
      <c r="C119" s="80"/>
      <c r="D119" s="81"/>
      <c r="E119" s="81"/>
      <c r="F119" s="82">
        <f>SUM(G119:X119)</f>
        <v>0</v>
      </c>
      <c r="G119" s="80"/>
      <c r="H119" s="81"/>
      <c r="I119" s="81"/>
      <c r="J119" s="80"/>
      <c r="K119" s="80"/>
      <c r="L119" s="81"/>
      <c r="M119" s="81"/>
      <c r="N119" s="81"/>
      <c r="O119" s="81"/>
      <c r="P119" s="81"/>
      <c r="Q119" s="80"/>
      <c r="R119" s="80"/>
      <c r="S119" s="81"/>
      <c r="T119" s="81"/>
      <c r="U119" s="81"/>
      <c r="V119" s="81"/>
      <c r="W119" s="81"/>
      <c r="X119" s="82"/>
      <c r="Y119" s="80"/>
      <c r="Z119" s="81"/>
      <c r="AA119" s="81"/>
      <c r="AB119" s="81"/>
      <c r="AC119" s="81"/>
      <c r="AD119" s="81"/>
      <c r="AE119" s="82">
        <v>9</v>
      </c>
      <c r="AM119" s="11"/>
      <c r="AN119" s="11"/>
      <c r="AO119" s="11"/>
      <c r="AP119" s="11"/>
      <c r="AQ119" s="11"/>
      <c r="AR119" s="11"/>
    </row>
    <row r="120" spans="1:44" s="4" customFormat="1" ht="56.25">
      <c r="A120" s="83">
        <v>1</v>
      </c>
      <c r="B120" s="84" t="s">
        <v>50</v>
      </c>
      <c r="C120" s="65">
        <f t="shared" ref="C120" si="28">SUM(D120:F122)</f>
        <v>72</v>
      </c>
      <c r="D120" s="66">
        <f t="shared" ref="D120" si="29">SUM(G120:X120)</f>
        <v>36</v>
      </c>
      <c r="E120" s="66"/>
      <c r="F120" s="67"/>
      <c r="G120" s="68">
        <v>2</v>
      </c>
      <c r="H120" s="68">
        <v>2</v>
      </c>
      <c r="I120" s="68">
        <v>2</v>
      </c>
      <c r="J120" s="68">
        <v>2</v>
      </c>
      <c r="K120" s="68">
        <v>2</v>
      </c>
      <c r="L120" s="68">
        <v>2</v>
      </c>
      <c r="M120" s="68">
        <v>2</v>
      </c>
      <c r="N120" s="68">
        <v>2</v>
      </c>
      <c r="O120" s="68">
        <v>2</v>
      </c>
      <c r="P120" s="68">
        <v>2</v>
      </c>
      <c r="Q120" s="68">
        <v>2</v>
      </c>
      <c r="R120" s="68">
        <v>2</v>
      </c>
      <c r="S120" s="68">
        <v>2</v>
      </c>
      <c r="T120" s="68">
        <v>2</v>
      </c>
      <c r="U120" s="68">
        <v>2</v>
      </c>
      <c r="V120" s="68">
        <v>2</v>
      </c>
      <c r="W120" s="68">
        <v>2</v>
      </c>
      <c r="X120" s="104">
        <v>2</v>
      </c>
      <c r="Y120" s="65"/>
      <c r="Z120" s="66"/>
      <c r="AA120" s="66"/>
      <c r="AB120" s="66"/>
      <c r="AC120" s="66"/>
      <c r="AD120" s="66"/>
      <c r="AE120" s="67" t="s">
        <v>16</v>
      </c>
      <c r="AM120" s="11"/>
      <c r="AN120" s="11"/>
      <c r="AO120" s="11"/>
      <c r="AP120" s="11"/>
      <c r="AQ120" s="11"/>
      <c r="AR120" s="11"/>
    </row>
    <row r="121" spans="1:44" s="4" customFormat="1">
      <c r="A121" s="85"/>
      <c r="B121" s="86"/>
      <c r="C121" s="72"/>
      <c r="D121" s="73"/>
      <c r="E121" s="73">
        <f t="shared" ref="E121" si="30">SUM(G121:X121)</f>
        <v>32</v>
      </c>
      <c r="F121" s="74"/>
      <c r="G121" s="100">
        <v>2</v>
      </c>
      <c r="H121" s="100">
        <v>2</v>
      </c>
      <c r="I121" s="100">
        <v>2</v>
      </c>
      <c r="J121" s="73">
        <v>2</v>
      </c>
      <c r="K121" s="100">
        <v>2</v>
      </c>
      <c r="L121" s="100">
        <v>2</v>
      </c>
      <c r="M121" s="100">
        <v>2</v>
      </c>
      <c r="N121" s="100">
        <v>2</v>
      </c>
      <c r="O121" s="100">
        <v>2</v>
      </c>
      <c r="P121" s="100">
        <v>2</v>
      </c>
      <c r="Q121" s="100">
        <v>2</v>
      </c>
      <c r="R121" s="100">
        <v>2</v>
      </c>
      <c r="S121" s="100">
        <v>2</v>
      </c>
      <c r="T121" s="100">
        <v>2</v>
      </c>
      <c r="U121" s="100">
        <v>2</v>
      </c>
      <c r="V121" s="100">
        <v>2</v>
      </c>
      <c r="W121" s="100"/>
      <c r="X121" s="106"/>
      <c r="Y121" s="72"/>
      <c r="Z121" s="73"/>
      <c r="AA121" s="73"/>
      <c r="AB121" s="73"/>
      <c r="AC121" s="73"/>
      <c r="AD121" s="73"/>
      <c r="AE121" s="77" t="s">
        <v>34</v>
      </c>
      <c r="AM121" s="12"/>
      <c r="AN121" s="101"/>
      <c r="AO121" s="167"/>
      <c r="AP121" s="167"/>
      <c r="AQ121" s="11"/>
      <c r="AR121" s="11"/>
    </row>
    <row r="122" spans="1:44" s="4" customFormat="1" ht="19.5" thickBot="1">
      <c r="A122" s="85"/>
      <c r="B122" s="86"/>
      <c r="C122" s="80"/>
      <c r="D122" s="81"/>
      <c r="E122" s="81"/>
      <c r="F122" s="82">
        <f t="shared" ref="F122" si="31">SUM(G122:X122)</f>
        <v>4</v>
      </c>
      <c r="G122" s="87"/>
      <c r="H122" s="88"/>
      <c r="I122" s="87"/>
      <c r="J122" s="80"/>
      <c r="K122" s="87"/>
      <c r="L122" s="73"/>
      <c r="M122" s="73"/>
      <c r="N122" s="73"/>
      <c r="O122" s="73"/>
      <c r="P122" s="73"/>
      <c r="Q122" s="72"/>
      <c r="R122" s="72"/>
      <c r="S122" s="73"/>
      <c r="T122" s="73"/>
      <c r="U122" s="73"/>
      <c r="V122" s="73"/>
      <c r="W122" s="100">
        <v>2</v>
      </c>
      <c r="X122" s="106">
        <v>2</v>
      </c>
      <c r="Y122" s="72"/>
      <c r="Z122" s="73"/>
      <c r="AA122" s="73"/>
      <c r="AB122" s="73"/>
      <c r="AC122" s="73"/>
      <c r="AD122" s="73"/>
      <c r="AE122" s="82">
        <v>36</v>
      </c>
      <c r="AM122" s="12"/>
      <c r="AN122" s="101"/>
      <c r="AO122" s="167"/>
      <c r="AP122" s="167"/>
      <c r="AQ122" s="11"/>
      <c r="AR122" s="11"/>
    </row>
    <row r="123" spans="1:44" s="4" customFormat="1" ht="75">
      <c r="A123" s="63">
        <v>1</v>
      </c>
      <c r="B123" s="64" t="s">
        <v>51</v>
      </c>
      <c r="C123" s="65">
        <f t="shared" ref="C123" si="32">SUM(D123:F125)</f>
        <v>36</v>
      </c>
      <c r="D123" s="66">
        <f t="shared" ref="D123" si="33">SUM(G123:X123)</f>
        <v>18</v>
      </c>
      <c r="E123" s="66"/>
      <c r="F123" s="67"/>
      <c r="G123" s="68">
        <v>2</v>
      </c>
      <c r="H123" s="69"/>
      <c r="I123" s="69">
        <v>2</v>
      </c>
      <c r="J123" s="68"/>
      <c r="K123" s="65">
        <v>2</v>
      </c>
      <c r="L123" s="66"/>
      <c r="M123" s="66">
        <v>2</v>
      </c>
      <c r="N123" s="66"/>
      <c r="O123" s="66">
        <v>2</v>
      </c>
      <c r="P123" s="66"/>
      <c r="Q123" s="65">
        <v>2</v>
      </c>
      <c r="R123" s="65"/>
      <c r="S123" s="66">
        <v>2</v>
      </c>
      <c r="T123" s="66"/>
      <c r="U123" s="66">
        <v>2</v>
      </c>
      <c r="V123" s="66"/>
      <c r="W123" s="66">
        <v>2</v>
      </c>
      <c r="X123" s="67"/>
      <c r="Y123" s="65"/>
      <c r="Z123" s="66"/>
      <c r="AA123" s="66"/>
      <c r="AB123" s="66"/>
      <c r="AC123" s="66"/>
      <c r="AD123" s="66"/>
      <c r="AE123" s="67" t="s">
        <v>16</v>
      </c>
    </row>
    <row r="124" spans="1:44" s="4" customFormat="1" ht="19.5">
      <c r="A124" s="70"/>
      <c r="B124" s="71"/>
      <c r="C124" s="72"/>
      <c r="D124" s="73"/>
      <c r="E124" s="73">
        <f t="shared" ref="E124" si="34">SUM(G124:X124)</f>
        <v>18</v>
      </c>
      <c r="F124" s="74"/>
      <c r="G124" s="72"/>
      <c r="H124" s="73">
        <v>2</v>
      </c>
      <c r="I124" s="73"/>
      <c r="J124" s="72">
        <v>2</v>
      </c>
      <c r="K124" s="75"/>
      <c r="L124" s="76">
        <v>2</v>
      </c>
      <c r="M124" s="76"/>
      <c r="N124" s="76">
        <v>2</v>
      </c>
      <c r="O124" s="76"/>
      <c r="P124" s="76">
        <v>2</v>
      </c>
      <c r="Q124" s="72"/>
      <c r="R124" s="72">
        <v>2</v>
      </c>
      <c r="S124" s="73"/>
      <c r="T124" s="73">
        <v>2</v>
      </c>
      <c r="U124" s="73"/>
      <c r="V124" s="73">
        <v>2</v>
      </c>
      <c r="W124" s="73"/>
      <c r="X124" s="74">
        <v>2</v>
      </c>
      <c r="Y124" s="72"/>
      <c r="Z124" s="73"/>
      <c r="AA124" s="73"/>
      <c r="AB124" s="73"/>
      <c r="AC124" s="73"/>
      <c r="AD124" s="73"/>
      <c r="AE124" s="77"/>
    </row>
    <row r="125" spans="1:44" s="4" customFormat="1" ht="21.75" customHeight="1" thickBot="1">
      <c r="A125" s="78"/>
      <c r="B125" s="79"/>
      <c r="C125" s="80"/>
      <c r="D125" s="81"/>
      <c r="E125" s="81"/>
      <c r="F125" s="82">
        <f t="shared" ref="F125" si="35">SUM(G125:X125)</f>
        <v>0</v>
      </c>
      <c r="G125" s="80"/>
      <c r="H125" s="81"/>
      <c r="I125" s="81"/>
      <c r="J125" s="80"/>
      <c r="K125" s="80"/>
      <c r="L125" s="81"/>
      <c r="M125" s="81"/>
      <c r="N125" s="81"/>
      <c r="O125" s="81"/>
      <c r="P125" s="81"/>
      <c r="Q125" s="80"/>
      <c r="R125" s="80"/>
      <c r="S125" s="81"/>
      <c r="T125" s="81"/>
      <c r="U125" s="81"/>
      <c r="V125" s="81"/>
      <c r="W125" s="81"/>
      <c r="X125" s="82"/>
      <c r="Y125" s="80"/>
      <c r="Z125" s="81"/>
      <c r="AA125" s="81"/>
      <c r="AB125" s="81"/>
      <c r="AC125" s="81"/>
      <c r="AD125" s="81"/>
      <c r="AE125" s="82">
        <v>36</v>
      </c>
      <c r="AM125" s="11"/>
      <c r="AN125" s="11"/>
      <c r="AO125" s="11"/>
      <c r="AP125" s="11"/>
      <c r="AQ125" s="11"/>
      <c r="AR125" s="11"/>
    </row>
    <row r="126" spans="1:44" s="4" customFormat="1" ht="75">
      <c r="A126" s="83">
        <v>1</v>
      </c>
      <c r="B126" s="84" t="s">
        <v>55</v>
      </c>
      <c r="C126" s="65">
        <f t="shared" ref="C126" si="36">SUM(D126:F128)</f>
        <v>36</v>
      </c>
      <c r="D126" s="66">
        <f t="shared" ref="D126" si="37">SUM(G126:X126)</f>
        <v>18</v>
      </c>
      <c r="E126" s="66"/>
      <c r="F126" s="67"/>
      <c r="G126" s="68">
        <v>2</v>
      </c>
      <c r="H126" s="69"/>
      <c r="I126" s="69">
        <v>2</v>
      </c>
      <c r="J126" s="68"/>
      <c r="K126" s="65">
        <v>2</v>
      </c>
      <c r="L126" s="66"/>
      <c r="M126" s="66">
        <v>2</v>
      </c>
      <c r="N126" s="66"/>
      <c r="O126" s="66">
        <v>2</v>
      </c>
      <c r="P126" s="66"/>
      <c r="Q126" s="65">
        <v>2</v>
      </c>
      <c r="R126" s="65"/>
      <c r="S126" s="66">
        <v>2</v>
      </c>
      <c r="T126" s="66"/>
      <c r="U126" s="66">
        <v>2</v>
      </c>
      <c r="V126" s="66"/>
      <c r="W126" s="66">
        <v>2</v>
      </c>
      <c r="X126" s="67"/>
      <c r="Y126" s="65"/>
      <c r="Z126" s="66"/>
      <c r="AA126" s="66"/>
      <c r="AB126" s="66"/>
      <c r="AC126" s="66"/>
      <c r="AD126" s="66"/>
      <c r="AE126" s="67" t="s">
        <v>16</v>
      </c>
      <c r="AM126" s="11"/>
      <c r="AN126" s="11"/>
      <c r="AO126" s="11"/>
      <c r="AP126" s="11"/>
      <c r="AQ126" s="11"/>
      <c r="AR126" s="11"/>
    </row>
    <row r="127" spans="1:44" s="4" customFormat="1">
      <c r="A127" s="85"/>
      <c r="B127" s="86"/>
      <c r="C127" s="72"/>
      <c r="D127" s="73"/>
      <c r="E127" s="73">
        <f t="shared" ref="E127" si="38">SUM(G127:X127)</f>
        <v>18</v>
      </c>
      <c r="F127" s="74"/>
      <c r="G127" s="72"/>
      <c r="H127" s="73">
        <v>2</v>
      </c>
      <c r="I127" s="73"/>
      <c r="J127" s="72">
        <v>2</v>
      </c>
      <c r="K127" s="75"/>
      <c r="L127" s="76">
        <v>2</v>
      </c>
      <c r="M127" s="76"/>
      <c r="N127" s="76">
        <v>2</v>
      </c>
      <c r="O127" s="76"/>
      <c r="P127" s="76">
        <v>2</v>
      </c>
      <c r="Q127" s="72"/>
      <c r="R127" s="72">
        <v>2</v>
      </c>
      <c r="S127" s="73"/>
      <c r="T127" s="73">
        <v>2</v>
      </c>
      <c r="U127" s="73"/>
      <c r="V127" s="73">
        <v>2</v>
      </c>
      <c r="W127" s="73"/>
      <c r="X127" s="74">
        <v>2</v>
      </c>
      <c r="Y127" s="72"/>
      <c r="Z127" s="73"/>
      <c r="AA127" s="73"/>
      <c r="AB127" s="73"/>
      <c r="AC127" s="73"/>
      <c r="AD127" s="73"/>
      <c r="AE127" s="77"/>
      <c r="AM127" s="12"/>
      <c r="AN127" s="101"/>
      <c r="AO127" s="167"/>
      <c r="AP127" s="167"/>
      <c r="AQ127" s="11"/>
      <c r="AR127" s="11"/>
    </row>
    <row r="128" spans="1:44" s="4" customFormat="1" ht="19.5" thickBot="1">
      <c r="A128" s="89"/>
      <c r="B128" s="90"/>
      <c r="C128" s="80"/>
      <c r="D128" s="81"/>
      <c r="E128" s="81"/>
      <c r="F128" s="82">
        <f t="shared" ref="F128" si="39">SUM(G128:X128)</f>
        <v>0</v>
      </c>
      <c r="G128" s="80"/>
      <c r="H128" s="81"/>
      <c r="I128" s="81"/>
      <c r="J128" s="80"/>
      <c r="K128" s="80"/>
      <c r="L128" s="81"/>
      <c r="M128" s="81"/>
      <c r="N128" s="81"/>
      <c r="O128" s="81"/>
      <c r="P128" s="81"/>
      <c r="Q128" s="80"/>
      <c r="R128" s="80"/>
      <c r="S128" s="81"/>
      <c r="T128" s="81"/>
      <c r="U128" s="81"/>
      <c r="V128" s="81"/>
      <c r="W128" s="81"/>
      <c r="X128" s="82"/>
      <c r="Y128" s="80"/>
      <c r="Z128" s="81"/>
      <c r="AA128" s="81"/>
      <c r="AB128" s="81"/>
      <c r="AC128" s="81"/>
      <c r="AD128" s="81"/>
      <c r="AE128" s="82">
        <v>36</v>
      </c>
      <c r="AM128" s="12"/>
      <c r="AN128" s="101"/>
      <c r="AO128" s="167"/>
      <c r="AP128" s="167"/>
      <c r="AQ128" s="11"/>
      <c r="AR128" s="11"/>
    </row>
    <row r="129" spans="1:44" s="4" customFormat="1" ht="37.5">
      <c r="A129" s="83">
        <v>1</v>
      </c>
      <c r="B129" s="84" t="s">
        <v>56</v>
      </c>
      <c r="C129" s="65">
        <f t="shared" ref="C129" si="40">SUM(D129:F131)</f>
        <v>72</v>
      </c>
      <c r="D129" s="66">
        <f t="shared" ref="D129" si="41">SUM(G129:X129)</f>
        <v>36</v>
      </c>
      <c r="E129" s="66"/>
      <c r="F129" s="67"/>
      <c r="G129" s="68">
        <v>2</v>
      </c>
      <c r="H129" s="68">
        <v>2</v>
      </c>
      <c r="I129" s="68">
        <v>2</v>
      </c>
      <c r="J129" s="68">
        <v>2</v>
      </c>
      <c r="K129" s="68">
        <v>2</v>
      </c>
      <c r="L129" s="68">
        <v>2</v>
      </c>
      <c r="M129" s="68">
        <v>2</v>
      </c>
      <c r="N129" s="68">
        <v>2</v>
      </c>
      <c r="O129" s="68">
        <v>2</v>
      </c>
      <c r="P129" s="68">
        <v>2</v>
      </c>
      <c r="Q129" s="68">
        <v>2</v>
      </c>
      <c r="R129" s="68">
        <v>2</v>
      </c>
      <c r="S129" s="68">
        <v>2</v>
      </c>
      <c r="T129" s="68">
        <v>2</v>
      </c>
      <c r="U129" s="68">
        <v>2</v>
      </c>
      <c r="V129" s="68">
        <v>2</v>
      </c>
      <c r="W129" s="68">
        <v>2</v>
      </c>
      <c r="X129" s="104">
        <v>2</v>
      </c>
      <c r="Y129" s="65"/>
      <c r="Z129" s="66"/>
      <c r="AA129" s="66"/>
      <c r="AB129" s="66"/>
      <c r="AC129" s="66"/>
      <c r="AD129" s="66"/>
      <c r="AE129" s="67" t="s">
        <v>16</v>
      </c>
      <c r="AM129" s="11"/>
      <c r="AN129" s="11"/>
      <c r="AO129" s="11"/>
      <c r="AP129" s="11"/>
      <c r="AQ129" s="11"/>
      <c r="AR129" s="11"/>
    </row>
    <row r="130" spans="1:44" s="4" customFormat="1">
      <c r="A130" s="85"/>
      <c r="B130" s="86"/>
      <c r="C130" s="72"/>
      <c r="D130" s="73"/>
      <c r="E130" s="73">
        <f t="shared" ref="E130" si="42">SUM(G130:X130)</f>
        <v>36</v>
      </c>
      <c r="F130" s="74"/>
      <c r="G130" s="72">
        <v>2</v>
      </c>
      <c r="H130" s="72">
        <v>2</v>
      </c>
      <c r="I130" s="72">
        <v>2</v>
      </c>
      <c r="J130" s="72">
        <v>2</v>
      </c>
      <c r="K130" s="72">
        <v>2</v>
      </c>
      <c r="L130" s="72">
        <v>2</v>
      </c>
      <c r="M130" s="72">
        <v>2</v>
      </c>
      <c r="N130" s="72">
        <v>2</v>
      </c>
      <c r="O130" s="72">
        <v>2</v>
      </c>
      <c r="P130" s="72">
        <v>2</v>
      </c>
      <c r="Q130" s="72">
        <v>2</v>
      </c>
      <c r="R130" s="72">
        <v>2</v>
      </c>
      <c r="S130" s="72">
        <v>2</v>
      </c>
      <c r="T130" s="72">
        <v>2</v>
      </c>
      <c r="U130" s="72">
        <v>2</v>
      </c>
      <c r="V130" s="72">
        <v>2</v>
      </c>
      <c r="W130" s="72">
        <v>2</v>
      </c>
      <c r="X130" s="74">
        <v>2</v>
      </c>
      <c r="Y130" s="72"/>
      <c r="Z130" s="73"/>
      <c r="AA130" s="73"/>
      <c r="AB130" s="73"/>
      <c r="AC130" s="73"/>
      <c r="AD130" s="73"/>
      <c r="AE130" s="77"/>
      <c r="AM130" s="12"/>
      <c r="AN130" s="101"/>
      <c r="AO130" s="167"/>
      <c r="AP130" s="167"/>
      <c r="AQ130" s="11"/>
      <c r="AR130" s="11"/>
    </row>
    <row r="131" spans="1:44" s="4" customFormat="1" ht="19.5" thickBot="1">
      <c r="A131" s="89"/>
      <c r="B131" s="90"/>
      <c r="C131" s="80"/>
      <c r="D131" s="81"/>
      <c r="E131" s="81"/>
      <c r="F131" s="82">
        <f t="shared" ref="F131" si="43">SUM(G131:X131)</f>
        <v>0</v>
      </c>
      <c r="G131" s="80"/>
      <c r="H131" s="81"/>
      <c r="I131" s="81"/>
      <c r="J131" s="80"/>
      <c r="K131" s="80"/>
      <c r="L131" s="81"/>
      <c r="M131" s="81"/>
      <c r="N131" s="81"/>
      <c r="O131" s="81"/>
      <c r="P131" s="81"/>
      <c r="Q131" s="87"/>
      <c r="R131" s="87"/>
      <c r="S131" s="88"/>
      <c r="T131" s="88"/>
      <c r="U131" s="88"/>
      <c r="V131" s="88"/>
      <c r="W131" s="88"/>
      <c r="X131" s="93"/>
      <c r="Y131" s="87"/>
      <c r="Z131" s="88"/>
      <c r="AA131" s="88"/>
      <c r="AB131" s="88"/>
      <c r="AC131" s="88"/>
      <c r="AD131" s="88"/>
      <c r="AE131" s="82">
        <v>36</v>
      </c>
      <c r="AM131" s="12"/>
      <c r="AN131" s="101"/>
      <c r="AO131" s="167"/>
      <c r="AP131" s="167"/>
      <c r="AQ131" s="11"/>
      <c r="AR131" s="11"/>
    </row>
    <row r="132" spans="1:44" s="4" customFormat="1" ht="56.25">
      <c r="A132" s="83">
        <v>1</v>
      </c>
      <c r="B132" s="84" t="s">
        <v>57</v>
      </c>
      <c r="C132" s="65">
        <f>SUM(D132:F134)</f>
        <v>72</v>
      </c>
      <c r="D132" s="66">
        <f>SUM(G132:X132)</f>
        <v>36</v>
      </c>
      <c r="E132" s="66"/>
      <c r="F132" s="67"/>
      <c r="G132" s="68">
        <v>2</v>
      </c>
      <c r="H132" s="68">
        <v>2</v>
      </c>
      <c r="I132" s="68">
        <v>2</v>
      </c>
      <c r="J132" s="68">
        <v>2</v>
      </c>
      <c r="K132" s="68">
        <v>2</v>
      </c>
      <c r="L132" s="68">
        <v>2</v>
      </c>
      <c r="M132" s="68">
        <v>2</v>
      </c>
      <c r="N132" s="68">
        <v>2</v>
      </c>
      <c r="O132" s="68">
        <v>2</v>
      </c>
      <c r="P132" s="68">
        <v>2</v>
      </c>
      <c r="Q132" s="68">
        <v>2</v>
      </c>
      <c r="R132" s="68">
        <v>2</v>
      </c>
      <c r="S132" s="68">
        <v>2</v>
      </c>
      <c r="T132" s="68">
        <v>2</v>
      </c>
      <c r="U132" s="68">
        <v>2</v>
      </c>
      <c r="V132" s="68">
        <v>2</v>
      </c>
      <c r="W132" s="68">
        <v>2</v>
      </c>
      <c r="X132" s="104">
        <v>2</v>
      </c>
      <c r="Y132" s="65"/>
      <c r="Z132" s="66"/>
      <c r="AA132" s="66"/>
      <c r="AB132" s="66"/>
      <c r="AC132" s="66"/>
      <c r="AD132" s="66"/>
      <c r="AE132" s="67" t="s">
        <v>29</v>
      </c>
      <c r="AM132" s="11"/>
      <c r="AN132" s="11"/>
      <c r="AO132" s="11"/>
      <c r="AP132" s="11"/>
      <c r="AQ132" s="11"/>
      <c r="AR132" s="11"/>
    </row>
    <row r="133" spans="1:44" s="4" customFormat="1">
      <c r="A133" s="85"/>
      <c r="B133" s="86"/>
      <c r="C133" s="72"/>
      <c r="D133" s="73"/>
      <c r="E133" s="73">
        <f>SUM(G133:X133)</f>
        <v>36</v>
      </c>
      <c r="F133" s="74"/>
      <c r="G133" s="72">
        <v>2</v>
      </c>
      <c r="H133" s="72">
        <v>2</v>
      </c>
      <c r="I133" s="72">
        <v>2</v>
      </c>
      <c r="J133" s="72">
        <v>2</v>
      </c>
      <c r="K133" s="72">
        <v>2</v>
      </c>
      <c r="L133" s="72">
        <v>2</v>
      </c>
      <c r="M133" s="72">
        <v>2</v>
      </c>
      <c r="N133" s="72">
        <v>2</v>
      </c>
      <c r="O133" s="72">
        <v>2</v>
      </c>
      <c r="P133" s="72">
        <v>2</v>
      </c>
      <c r="Q133" s="72">
        <v>2</v>
      </c>
      <c r="R133" s="72">
        <v>2</v>
      </c>
      <c r="S133" s="72">
        <v>2</v>
      </c>
      <c r="T133" s="72">
        <v>2</v>
      </c>
      <c r="U133" s="72">
        <v>2</v>
      </c>
      <c r="V133" s="72">
        <v>2</v>
      </c>
      <c r="W133" s="72">
        <v>2</v>
      </c>
      <c r="X133" s="74">
        <v>2</v>
      </c>
      <c r="Y133" s="72"/>
      <c r="Z133" s="73"/>
      <c r="AA133" s="73"/>
      <c r="AB133" s="73"/>
      <c r="AC133" s="73"/>
      <c r="AD133" s="73"/>
      <c r="AE133" s="77"/>
      <c r="AM133" s="12"/>
      <c r="AN133" s="101"/>
      <c r="AO133" s="167"/>
      <c r="AP133" s="167"/>
      <c r="AQ133" s="11"/>
      <c r="AR133" s="11"/>
    </row>
    <row r="134" spans="1:44" s="4" customFormat="1" ht="19.5" thickBot="1">
      <c r="A134" s="89"/>
      <c r="B134" s="90"/>
      <c r="C134" s="80"/>
      <c r="D134" s="81"/>
      <c r="E134" s="81"/>
      <c r="F134" s="82">
        <f>SUM(G134:X134)</f>
        <v>0</v>
      </c>
      <c r="G134" s="87"/>
      <c r="H134" s="88"/>
      <c r="I134" s="87"/>
      <c r="J134" s="80"/>
      <c r="K134" s="87"/>
      <c r="L134" s="88"/>
      <c r="M134" s="88"/>
      <c r="N134" s="88"/>
      <c r="O134" s="88"/>
      <c r="P134" s="88"/>
      <c r="Q134" s="87"/>
      <c r="R134" s="87"/>
      <c r="S134" s="88"/>
      <c r="T134" s="88"/>
      <c r="U134" s="88"/>
      <c r="V134" s="88"/>
      <c r="W134" s="88"/>
      <c r="X134" s="93"/>
      <c r="Y134" s="87"/>
      <c r="Z134" s="88"/>
      <c r="AA134" s="88"/>
      <c r="AB134" s="88"/>
      <c r="AC134" s="88"/>
      <c r="AD134" s="88"/>
      <c r="AE134" s="82">
        <v>9</v>
      </c>
      <c r="AM134" s="12"/>
      <c r="AN134" s="101"/>
      <c r="AO134" s="167"/>
      <c r="AP134" s="167"/>
      <c r="AQ134" s="11"/>
      <c r="AR134" s="11"/>
    </row>
    <row r="135" spans="1:44" s="4" customFormat="1" ht="75">
      <c r="A135" s="83">
        <v>1</v>
      </c>
      <c r="B135" s="84" t="s">
        <v>58</v>
      </c>
      <c r="C135" s="65">
        <f t="shared" ref="C135" si="44">SUM(D135:F137)</f>
        <v>36</v>
      </c>
      <c r="D135" s="66">
        <f t="shared" ref="D135" si="45">SUM(G135:X135)</f>
        <v>18</v>
      </c>
      <c r="E135" s="66"/>
      <c r="F135" s="67"/>
      <c r="G135" s="68">
        <v>2</v>
      </c>
      <c r="H135" s="69"/>
      <c r="I135" s="69">
        <v>2</v>
      </c>
      <c r="J135" s="68"/>
      <c r="K135" s="65">
        <v>2</v>
      </c>
      <c r="L135" s="66"/>
      <c r="M135" s="66">
        <v>2</v>
      </c>
      <c r="N135" s="66"/>
      <c r="O135" s="66">
        <v>2</v>
      </c>
      <c r="P135" s="66"/>
      <c r="Q135" s="65">
        <v>2</v>
      </c>
      <c r="R135" s="65"/>
      <c r="S135" s="66">
        <v>2</v>
      </c>
      <c r="T135" s="66"/>
      <c r="U135" s="66">
        <v>2</v>
      </c>
      <c r="V135" s="66"/>
      <c r="W135" s="66">
        <v>2</v>
      </c>
      <c r="X135" s="67"/>
      <c r="Y135" s="65"/>
      <c r="Z135" s="66"/>
      <c r="AA135" s="66"/>
      <c r="AB135" s="66"/>
      <c r="AC135" s="66"/>
      <c r="AD135" s="66"/>
      <c r="AE135" s="67" t="s">
        <v>15</v>
      </c>
      <c r="AM135" s="11"/>
      <c r="AN135" s="11"/>
      <c r="AO135" s="11"/>
      <c r="AP135" s="11"/>
      <c r="AQ135" s="11"/>
      <c r="AR135" s="11"/>
    </row>
    <row r="136" spans="1:44" s="4" customFormat="1">
      <c r="A136" s="85"/>
      <c r="B136" s="86"/>
      <c r="C136" s="72"/>
      <c r="D136" s="73"/>
      <c r="E136" s="73">
        <f t="shared" ref="E136" si="46">SUM(G136:X136)</f>
        <v>18</v>
      </c>
      <c r="F136" s="74"/>
      <c r="G136" s="72"/>
      <c r="H136" s="73">
        <v>2</v>
      </c>
      <c r="I136" s="73"/>
      <c r="J136" s="72">
        <v>2</v>
      </c>
      <c r="K136" s="75"/>
      <c r="L136" s="76">
        <v>2</v>
      </c>
      <c r="M136" s="76"/>
      <c r="N136" s="76">
        <v>2</v>
      </c>
      <c r="O136" s="76"/>
      <c r="P136" s="76">
        <v>2</v>
      </c>
      <c r="Q136" s="72"/>
      <c r="R136" s="72">
        <v>2</v>
      </c>
      <c r="S136" s="73"/>
      <c r="T136" s="73">
        <v>2</v>
      </c>
      <c r="U136" s="73"/>
      <c r="V136" s="73">
        <v>2</v>
      </c>
      <c r="W136" s="73"/>
      <c r="X136" s="74">
        <v>2</v>
      </c>
      <c r="Y136" s="72"/>
      <c r="Z136" s="73"/>
      <c r="AA136" s="73"/>
      <c r="AB136" s="73"/>
      <c r="AC136" s="73"/>
      <c r="AD136" s="73"/>
      <c r="AE136" s="77"/>
      <c r="AM136" s="12"/>
      <c r="AN136" s="101"/>
      <c r="AO136" s="167"/>
      <c r="AP136" s="167"/>
      <c r="AQ136" s="11"/>
      <c r="AR136" s="11"/>
    </row>
    <row r="137" spans="1:44" s="4" customFormat="1" ht="19.5" thickBot="1">
      <c r="A137" s="103"/>
      <c r="B137" s="90"/>
      <c r="C137" s="80"/>
      <c r="D137" s="81"/>
      <c r="E137" s="81"/>
      <c r="F137" s="82">
        <f t="shared" ref="F137" si="47">SUM(G137:X137)</f>
        <v>0</v>
      </c>
      <c r="G137" s="80"/>
      <c r="H137" s="81"/>
      <c r="I137" s="81"/>
      <c r="J137" s="80"/>
      <c r="K137" s="80"/>
      <c r="L137" s="81"/>
      <c r="M137" s="81"/>
      <c r="N137" s="81"/>
      <c r="O137" s="81"/>
      <c r="P137" s="81"/>
      <c r="Q137" s="80"/>
      <c r="R137" s="80"/>
      <c r="S137" s="81"/>
      <c r="T137" s="81"/>
      <c r="U137" s="81"/>
      <c r="V137" s="81"/>
      <c r="W137" s="81"/>
      <c r="X137" s="82"/>
      <c r="Y137" s="80"/>
      <c r="Z137" s="81"/>
      <c r="AA137" s="81"/>
      <c r="AB137" s="81"/>
      <c r="AC137" s="81"/>
      <c r="AD137" s="81"/>
      <c r="AE137" s="82">
        <v>9</v>
      </c>
      <c r="AM137" s="12"/>
      <c r="AN137" s="101"/>
      <c r="AO137" s="167"/>
      <c r="AP137" s="167"/>
      <c r="AQ137" s="11"/>
      <c r="AR137" s="11"/>
    </row>
    <row r="138" spans="1:44" ht="54.75" customHeight="1" thickBot="1">
      <c r="A138" s="164" t="s">
        <v>66</v>
      </c>
      <c r="B138" s="165"/>
      <c r="C138" s="165"/>
      <c r="D138" s="165"/>
      <c r="E138" s="165"/>
      <c r="F138" s="165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6"/>
    </row>
    <row r="139" spans="1:44" s="4" customFormat="1" ht="19.5" customHeight="1" thickBot="1">
      <c r="A139" s="161" t="s">
        <v>65</v>
      </c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3"/>
    </row>
    <row r="140" spans="1:44" s="4" customFormat="1" ht="19.5">
      <c r="A140" s="113">
        <v>1</v>
      </c>
      <c r="B140" s="64" t="s">
        <v>23</v>
      </c>
      <c r="C140" s="114">
        <f t="shared" ref="C140" si="48">SUM(D140:F142)</f>
        <v>56</v>
      </c>
      <c r="D140" s="115">
        <f t="shared" ref="D140" si="49">SUM(G140:AD140)</f>
        <v>28</v>
      </c>
      <c r="E140" s="115"/>
      <c r="F140" s="116"/>
      <c r="G140" s="117">
        <v>2</v>
      </c>
      <c r="H140" s="118">
        <v>2</v>
      </c>
      <c r="I140" s="118">
        <v>2</v>
      </c>
      <c r="J140" s="118">
        <v>2</v>
      </c>
      <c r="K140" s="118">
        <v>2</v>
      </c>
      <c r="L140" s="119">
        <v>2</v>
      </c>
      <c r="M140" s="118">
        <v>2</v>
      </c>
      <c r="N140" s="119">
        <v>2</v>
      </c>
      <c r="O140" s="120">
        <v>2</v>
      </c>
      <c r="P140" s="120">
        <v>2</v>
      </c>
      <c r="Q140" s="120">
        <v>2</v>
      </c>
      <c r="R140" s="120">
        <v>2</v>
      </c>
      <c r="S140" s="120">
        <v>2</v>
      </c>
      <c r="T140" s="118">
        <v>2</v>
      </c>
      <c r="U140" s="118"/>
      <c r="V140" s="119"/>
      <c r="W140" s="118"/>
      <c r="X140" s="118"/>
      <c r="Y140" s="118"/>
      <c r="Z140" s="119"/>
      <c r="AA140" s="118"/>
      <c r="AB140" s="118"/>
      <c r="AC140" s="118"/>
      <c r="AD140" s="121"/>
      <c r="AE140" s="122" t="s">
        <v>29</v>
      </c>
    </row>
    <row r="141" spans="1:44" s="4" customFormat="1" ht="19.5">
      <c r="A141" s="123"/>
      <c r="B141" s="71"/>
      <c r="C141" s="124"/>
      <c r="D141" s="125"/>
      <c r="E141" s="125">
        <f t="shared" ref="E141" si="50">SUM(G141:AD141)</f>
        <v>28</v>
      </c>
      <c r="F141" s="126"/>
      <c r="G141" s="127">
        <v>2</v>
      </c>
      <c r="H141" s="127">
        <v>2</v>
      </c>
      <c r="I141" s="127">
        <v>2</v>
      </c>
      <c r="J141" s="127">
        <v>2</v>
      </c>
      <c r="K141" s="127">
        <v>2</v>
      </c>
      <c r="L141" s="127">
        <v>2</v>
      </c>
      <c r="M141" s="127">
        <v>2</v>
      </c>
      <c r="N141" s="127">
        <v>2</v>
      </c>
      <c r="O141" s="125">
        <v>2</v>
      </c>
      <c r="P141" s="124">
        <v>2</v>
      </c>
      <c r="Q141" s="124">
        <v>2</v>
      </c>
      <c r="R141" s="124">
        <v>2</v>
      </c>
      <c r="S141" s="124">
        <v>2</v>
      </c>
      <c r="T141" s="124">
        <v>2</v>
      </c>
      <c r="U141" s="124"/>
      <c r="V141" s="128"/>
      <c r="W141" s="125"/>
      <c r="X141" s="125"/>
      <c r="Y141" s="125"/>
      <c r="Z141" s="125"/>
      <c r="AA141" s="125"/>
      <c r="AB141" s="125"/>
      <c r="AC141" s="125"/>
      <c r="AD141" s="126"/>
      <c r="AE141" s="129"/>
    </row>
    <row r="142" spans="1:44" s="4" customFormat="1" ht="21.75" customHeight="1" thickBot="1">
      <c r="A142" s="130"/>
      <c r="B142" s="131" t="s">
        <v>67</v>
      </c>
      <c r="C142" s="132"/>
      <c r="D142" s="133"/>
      <c r="E142" s="133"/>
      <c r="F142" s="134">
        <f t="shared" ref="F142" si="51">SUM(G142:AD142)</f>
        <v>0</v>
      </c>
      <c r="G142" s="135"/>
      <c r="H142" s="136"/>
      <c r="I142" s="135"/>
      <c r="J142" s="135"/>
      <c r="K142" s="135"/>
      <c r="L142" s="135"/>
      <c r="M142" s="135"/>
      <c r="N142" s="135"/>
      <c r="O142" s="133"/>
      <c r="P142" s="133"/>
      <c r="Q142" s="137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8"/>
      <c r="AB142" s="133"/>
      <c r="AC142" s="133"/>
      <c r="AD142" s="134"/>
      <c r="AE142" s="139">
        <v>9</v>
      </c>
      <c r="AM142" s="11"/>
      <c r="AN142" s="11"/>
      <c r="AO142" s="11"/>
      <c r="AP142" s="11"/>
      <c r="AQ142" s="11"/>
      <c r="AR142" s="11"/>
    </row>
    <row r="143" spans="1:44" s="4" customFormat="1" ht="26.25" customHeight="1" thickBot="1">
      <c r="A143" s="161" t="s">
        <v>68</v>
      </c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3"/>
    </row>
    <row r="144" spans="1:44" s="4" customFormat="1" ht="19.5">
      <c r="A144" s="113">
        <v>1</v>
      </c>
      <c r="B144" s="64" t="s">
        <v>23</v>
      </c>
      <c r="C144" s="114">
        <f t="shared" ref="C144" si="52">SUM(D144:F146)</f>
        <v>56</v>
      </c>
      <c r="D144" s="115">
        <f t="shared" ref="D144" si="53">SUM(G144:AD144)</f>
        <v>28</v>
      </c>
      <c r="E144" s="115"/>
      <c r="F144" s="116"/>
      <c r="G144" s="117"/>
      <c r="H144" s="118"/>
      <c r="I144" s="118"/>
      <c r="J144" s="118"/>
      <c r="K144" s="118"/>
      <c r="L144" s="119"/>
      <c r="M144" s="118"/>
      <c r="N144" s="119"/>
      <c r="O144" s="120"/>
      <c r="P144" s="120"/>
      <c r="Q144" s="120"/>
      <c r="R144" s="120"/>
      <c r="S144" s="120"/>
      <c r="T144" s="118"/>
      <c r="U144" s="118"/>
      <c r="V144" s="119"/>
      <c r="W144" s="201"/>
      <c r="X144" s="202"/>
      <c r="Y144" s="203"/>
      <c r="Z144" s="119">
        <v>8</v>
      </c>
      <c r="AA144" s="118">
        <v>6</v>
      </c>
      <c r="AB144" s="118">
        <v>8</v>
      </c>
      <c r="AC144" s="118">
        <v>6</v>
      </c>
      <c r="AD144" s="121"/>
      <c r="AE144" s="122" t="s">
        <v>29</v>
      </c>
    </row>
    <row r="145" spans="1:44" s="4" customFormat="1" ht="19.5">
      <c r="A145" s="123"/>
      <c r="B145" s="71"/>
      <c r="C145" s="124"/>
      <c r="D145" s="125"/>
      <c r="E145" s="125">
        <f t="shared" ref="E145" si="54">SUM(G145:AD145)</f>
        <v>28</v>
      </c>
      <c r="F145" s="126"/>
      <c r="G145" s="127"/>
      <c r="H145" s="127"/>
      <c r="I145" s="127"/>
      <c r="J145" s="127"/>
      <c r="K145" s="127"/>
      <c r="L145" s="127"/>
      <c r="M145" s="127"/>
      <c r="N145" s="127"/>
      <c r="O145" s="125"/>
      <c r="P145" s="124"/>
      <c r="Q145" s="124"/>
      <c r="R145" s="124"/>
      <c r="S145" s="124"/>
      <c r="T145" s="124"/>
      <c r="U145" s="124"/>
      <c r="V145" s="141"/>
      <c r="W145" s="204"/>
      <c r="X145" s="160"/>
      <c r="Y145" s="205"/>
      <c r="Z145" s="124">
        <v>6</v>
      </c>
      <c r="AA145" s="125">
        <v>8</v>
      </c>
      <c r="AB145" s="125">
        <v>6</v>
      </c>
      <c r="AC145" s="125">
        <v>8</v>
      </c>
      <c r="AD145" s="126"/>
      <c r="AE145" s="129"/>
    </row>
    <row r="146" spans="1:44" s="4" customFormat="1" ht="21.75" customHeight="1" thickBot="1">
      <c r="A146" s="130"/>
      <c r="B146" s="131" t="s">
        <v>67</v>
      </c>
      <c r="C146" s="132"/>
      <c r="D146" s="133"/>
      <c r="E146" s="133"/>
      <c r="F146" s="134">
        <f t="shared" ref="F146" si="55">SUM(G146:AD146)</f>
        <v>0</v>
      </c>
      <c r="G146" s="135"/>
      <c r="H146" s="136"/>
      <c r="I146" s="135"/>
      <c r="J146" s="135"/>
      <c r="K146" s="135"/>
      <c r="L146" s="135"/>
      <c r="M146" s="135"/>
      <c r="N146" s="135"/>
      <c r="O146" s="133"/>
      <c r="P146" s="133"/>
      <c r="Q146" s="137"/>
      <c r="R146" s="133"/>
      <c r="S146" s="133"/>
      <c r="T146" s="133"/>
      <c r="U146" s="133"/>
      <c r="V146" s="142"/>
      <c r="W146" s="206"/>
      <c r="X146" s="207"/>
      <c r="Y146" s="208"/>
      <c r="Z146" s="132"/>
      <c r="AA146" s="138"/>
      <c r="AB146" s="133"/>
      <c r="AC146" s="133"/>
      <c r="AD146" s="134"/>
      <c r="AE146" s="139">
        <v>9</v>
      </c>
      <c r="AM146" s="11"/>
      <c r="AN146" s="11"/>
      <c r="AO146" s="11"/>
      <c r="AP146" s="11"/>
      <c r="AQ146" s="11"/>
      <c r="AR146" s="11"/>
    </row>
    <row r="147" spans="1:44" s="4" customFormat="1" ht="24" customHeight="1" thickBot="1">
      <c r="A147" s="161" t="s">
        <v>69</v>
      </c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202"/>
      <c r="Z147" s="162"/>
      <c r="AA147" s="162"/>
      <c r="AB147" s="162"/>
      <c r="AC147" s="162"/>
      <c r="AD147" s="162"/>
      <c r="AE147" s="163"/>
    </row>
    <row r="148" spans="1:44" s="4" customFormat="1" ht="19.5">
      <c r="A148" s="143">
        <v>1</v>
      </c>
      <c r="B148" s="144" t="s">
        <v>23</v>
      </c>
      <c r="C148" s="145">
        <f>SUM(D148:F150)</f>
        <v>56</v>
      </c>
      <c r="D148" s="118">
        <f>SUM(G148:AA148)</f>
        <v>28</v>
      </c>
      <c r="E148" s="118"/>
      <c r="F148" s="121"/>
      <c r="G148" s="146"/>
      <c r="H148" s="140"/>
      <c r="I148" s="147"/>
      <c r="J148" s="146"/>
      <c r="K148" s="146"/>
      <c r="L148" s="146"/>
      <c r="M148" s="146"/>
      <c r="N148" s="146">
        <v>2</v>
      </c>
      <c r="O148" s="118">
        <v>2</v>
      </c>
      <c r="P148" s="118">
        <v>2</v>
      </c>
      <c r="Q148" s="119">
        <v>2</v>
      </c>
      <c r="R148" s="118">
        <v>2</v>
      </c>
      <c r="S148" s="118">
        <v>2</v>
      </c>
      <c r="T148" s="118">
        <v>2</v>
      </c>
      <c r="U148" s="118">
        <v>2</v>
      </c>
      <c r="V148" s="118">
        <v>2</v>
      </c>
      <c r="W148" s="115">
        <v>2</v>
      </c>
      <c r="X148" s="115">
        <v>2</v>
      </c>
      <c r="Y148" s="118">
        <v>2</v>
      </c>
      <c r="Z148" s="145">
        <v>2</v>
      </c>
      <c r="AA148" s="121">
        <v>2</v>
      </c>
      <c r="AB148" s="145"/>
      <c r="AC148" s="118"/>
      <c r="AD148" s="121"/>
      <c r="AE148" s="148" t="s">
        <v>29</v>
      </c>
      <c r="AM148" s="11"/>
      <c r="AN148" s="11"/>
      <c r="AO148" s="11"/>
      <c r="AP148" s="11"/>
      <c r="AQ148" s="11"/>
      <c r="AR148" s="11"/>
    </row>
    <row r="149" spans="1:44" s="4" customFormat="1" ht="19.5" thickBot="1">
      <c r="A149" s="149"/>
      <c r="B149" s="150"/>
      <c r="C149" s="124"/>
      <c r="D149" s="125"/>
      <c r="E149" s="125">
        <f>SUM(G149:AA149)</f>
        <v>28</v>
      </c>
      <c r="F149" s="126"/>
      <c r="G149" s="124"/>
      <c r="H149" s="151"/>
      <c r="I149" s="125"/>
      <c r="J149" s="124"/>
      <c r="K149" s="124"/>
      <c r="L149" s="124"/>
      <c r="M149" s="124"/>
      <c r="N149" s="124">
        <v>2</v>
      </c>
      <c r="O149" s="125">
        <v>2</v>
      </c>
      <c r="P149" s="125">
        <v>2</v>
      </c>
      <c r="Q149" s="125">
        <v>2</v>
      </c>
      <c r="R149" s="124">
        <v>2</v>
      </c>
      <c r="S149" s="125">
        <v>2</v>
      </c>
      <c r="T149" s="125">
        <v>2</v>
      </c>
      <c r="U149" s="125">
        <v>2</v>
      </c>
      <c r="V149" s="125">
        <v>2</v>
      </c>
      <c r="W149" s="125">
        <v>2</v>
      </c>
      <c r="X149" s="125">
        <v>2</v>
      </c>
      <c r="Y149" s="124">
        <v>2</v>
      </c>
      <c r="Z149" s="114">
        <v>2</v>
      </c>
      <c r="AA149" s="126">
        <v>2</v>
      </c>
      <c r="AB149" s="124"/>
      <c r="AC149" s="125"/>
      <c r="AD149" s="126"/>
      <c r="AE149" s="129"/>
      <c r="AM149" s="12"/>
      <c r="AN149" s="101"/>
      <c r="AO149" s="167"/>
      <c r="AP149" s="167"/>
      <c r="AQ149" s="11"/>
      <c r="AR149" s="11"/>
    </row>
    <row r="150" spans="1:44" ht="54.75" customHeight="1">
      <c r="A150" s="164" t="s">
        <v>70</v>
      </c>
      <c r="B150" s="165"/>
      <c r="C150" s="165"/>
      <c r="D150" s="165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6"/>
    </row>
    <row r="151" spans="1:44" s="4" customFormat="1" ht="29.25" customHeight="1" thickBot="1">
      <c r="A151" s="159" t="s">
        <v>71</v>
      </c>
      <c r="B151" s="159"/>
      <c r="C151" s="159"/>
      <c r="D151" s="159"/>
      <c r="E151" s="159"/>
      <c r="F151" s="159"/>
      <c r="G151" s="159"/>
      <c r="H151" s="159"/>
      <c r="I151" s="159"/>
      <c r="J151" s="159"/>
      <c r="K151" s="160"/>
      <c r="L151" s="160"/>
      <c r="M151" s="160"/>
      <c r="N151" s="160"/>
      <c r="O151" s="160"/>
      <c r="P151" s="160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</row>
    <row r="152" spans="1:44" s="4" customFormat="1" ht="19.5">
      <c r="A152" s="113">
        <v>1</v>
      </c>
      <c r="B152" s="153" t="s">
        <v>23</v>
      </c>
      <c r="C152" s="145">
        <f>SUM(D152:F154)</f>
        <v>50</v>
      </c>
      <c r="D152" s="118">
        <f>SUM(G152:P152)</f>
        <v>30</v>
      </c>
      <c r="E152" s="118"/>
      <c r="F152" s="121"/>
      <c r="G152" s="154">
        <v>4</v>
      </c>
      <c r="H152" s="155">
        <v>2</v>
      </c>
      <c r="I152" s="155">
        <v>4</v>
      </c>
      <c r="J152" s="154">
        <v>2</v>
      </c>
      <c r="K152" s="145">
        <v>4</v>
      </c>
      <c r="L152" s="118">
        <v>2</v>
      </c>
      <c r="M152" s="118">
        <v>4</v>
      </c>
      <c r="N152" s="118">
        <v>2</v>
      </c>
      <c r="O152" s="118">
        <v>4</v>
      </c>
      <c r="P152" s="121">
        <v>2</v>
      </c>
      <c r="Q152" s="145"/>
      <c r="R152" s="145"/>
      <c r="S152" s="118"/>
      <c r="T152" s="118"/>
      <c r="U152" s="118"/>
      <c r="V152" s="118"/>
      <c r="W152" s="118"/>
      <c r="X152" s="118"/>
      <c r="Y152" s="118"/>
      <c r="Z152" s="118"/>
      <c r="AA152" s="118"/>
      <c r="AB152" s="118"/>
      <c r="AC152" s="118"/>
      <c r="AD152" s="118"/>
      <c r="AE152" s="121" t="s">
        <v>16</v>
      </c>
    </row>
    <row r="153" spans="1:44" s="4" customFormat="1" ht="19.5">
      <c r="A153" s="123"/>
      <c r="B153" s="156"/>
      <c r="C153" s="124"/>
      <c r="D153" s="125"/>
      <c r="E153" s="125">
        <f>SUM(G153:P153)</f>
        <v>20</v>
      </c>
      <c r="F153" s="126"/>
      <c r="G153" s="124"/>
      <c r="H153" s="125">
        <v>4</v>
      </c>
      <c r="I153" s="125"/>
      <c r="J153" s="124">
        <v>4</v>
      </c>
      <c r="K153" s="114"/>
      <c r="L153" s="115">
        <v>4</v>
      </c>
      <c r="M153" s="115"/>
      <c r="N153" s="115">
        <v>4</v>
      </c>
      <c r="O153" s="115"/>
      <c r="P153" s="116">
        <v>4</v>
      </c>
      <c r="Q153" s="124"/>
      <c r="R153" s="124"/>
      <c r="S153" s="125"/>
      <c r="T153" s="125"/>
      <c r="U153" s="125"/>
      <c r="V153" s="125"/>
      <c r="W153" s="125"/>
      <c r="X153" s="125"/>
      <c r="Y153" s="125"/>
      <c r="Z153" s="125"/>
      <c r="AA153" s="125"/>
      <c r="AB153" s="125"/>
      <c r="AC153" s="125"/>
      <c r="AD153" s="125"/>
      <c r="AE153" s="157"/>
    </row>
    <row r="154" spans="1:44" s="4" customFormat="1" ht="21.75" customHeight="1" thickBot="1">
      <c r="A154" s="130"/>
      <c r="B154" s="158"/>
      <c r="C154" s="132"/>
      <c r="D154" s="133"/>
      <c r="E154" s="133"/>
      <c r="F154" s="134">
        <f>SUM(G154:P154)</f>
        <v>0</v>
      </c>
      <c r="G154" s="132"/>
      <c r="H154" s="133"/>
      <c r="I154" s="133"/>
      <c r="J154" s="132"/>
      <c r="K154" s="132"/>
      <c r="L154" s="133"/>
      <c r="M154" s="133"/>
      <c r="N154" s="133"/>
      <c r="O154" s="133"/>
      <c r="P154" s="134"/>
      <c r="Q154" s="132"/>
      <c r="R154" s="132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4">
        <v>27</v>
      </c>
      <c r="AM154" s="11"/>
      <c r="AN154" s="11"/>
      <c r="AO154" s="11"/>
      <c r="AP154" s="11"/>
      <c r="AQ154" s="11"/>
      <c r="AR154" s="11"/>
    </row>
  </sheetData>
  <mergeCells count="78">
    <mergeCell ref="AO104:AP104"/>
    <mergeCell ref="A112:AE112"/>
    <mergeCell ref="N113:Y115"/>
    <mergeCell ref="U5:X5"/>
    <mergeCell ref="AO89:AP89"/>
    <mergeCell ref="AO50:AP50"/>
    <mergeCell ref="AE5:AE12"/>
    <mergeCell ref="A43:AE43"/>
    <mergeCell ref="A50:AE50"/>
    <mergeCell ref="A54:AE54"/>
    <mergeCell ref="A58:AE58"/>
    <mergeCell ref="A80:AE80"/>
    <mergeCell ref="A84:AE84"/>
    <mergeCell ref="A85:AE85"/>
    <mergeCell ref="AO97:AP97"/>
    <mergeCell ref="A89:AE89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G5:H5"/>
    <mergeCell ref="AO98:AP98"/>
    <mergeCell ref="AO100:AP100"/>
    <mergeCell ref="AO101:AP101"/>
    <mergeCell ref="AO103:AP103"/>
    <mergeCell ref="A3:C3"/>
    <mergeCell ref="AO73:AP73"/>
    <mergeCell ref="AO75:AP75"/>
    <mergeCell ref="AO78:AP78"/>
    <mergeCell ref="AO79:AP79"/>
    <mergeCell ref="AO63:AP63"/>
    <mergeCell ref="AO64:AP64"/>
    <mergeCell ref="AO69:AP69"/>
    <mergeCell ref="AO70:AP70"/>
    <mergeCell ref="AO72:AP72"/>
    <mergeCell ref="AO76:AP76"/>
    <mergeCell ref="A35:AE35"/>
    <mergeCell ref="A39:AE39"/>
    <mergeCell ref="AO48:AP48"/>
    <mergeCell ref="AO49:AP49"/>
    <mergeCell ref="L13:AO13"/>
    <mergeCell ref="L14:AO14"/>
    <mergeCell ref="AH43:BK43"/>
    <mergeCell ref="A23:AD23"/>
    <mergeCell ref="A27:AE27"/>
    <mergeCell ref="A31:AE31"/>
    <mergeCell ref="A15:AD15"/>
    <mergeCell ref="A19:AD19"/>
    <mergeCell ref="A111:AE111"/>
    <mergeCell ref="AO136:AP136"/>
    <mergeCell ref="AO128:AP128"/>
    <mergeCell ref="AO130:AP130"/>
    <mergeCell ref="AO131:AP131"/>
    <mergeCell ref="AO133:AP133"/>
    <mergeCell ref="AO134:AP134"/>
    <mergeCell ref="AO121:AP121"/>
    <mergeCell ref="AO122:AP122"/>
    <mergeCell ref="AO127:AP127"/>
    <mergeCell ref="AO116:AP116"/>
    <mergeCell ref="A151:AE151"/>
    <mergeCell ref="A139:AE139"/>
    <mergeCell ref="A138:AE138"/>
    <mergeCell ref="AO137:AP137"/>
    <mergeCell ref="A116:AE116"/>
    <mergeCell ref="A143:AE143"/>
    <mergeCell ref="W144:Y146"/>
    <mergeCell ref="A147:AE147"/>
    <mergeCell ref="AO149:AP149"/>
    <mergeCell ref="A150:AE150"/>
  </mergeCells>
  <conditionalFormatting sqref="A38">
    <cfRule type="expression" dxfId="285" priority="1043" stopIfTrue="1">
      <formula>$DB23=1</formula>
    </cfRule>
  </conditionalFormatting>
  <conditionalFormatting sqref="A38:B38">
    <cfRule type="expression" dxfId="284" priority="1065" stopIfTrue="1">
      <formula>$CV23&gt;0</formula>
    </cfRule>
    <cfRule type="expression" dxfId="283" priority="1066" stopIfTrue="1">
      <formula>$CU23&gt;0</formula>
    </cfRule>
  </conditionalFormatting>
  <conditionalFormatting sqref="A38:B38">
    <cfRule type="expression" dxfId="282" priority="979" stopIfTrue="1">
      <formula>$CV23&gt;0</formula>
    </cfRule>
    <cfRule type="expression" dxfId="281" priority="980" stopIfTrue="1">
      <formula>$CU23&gt;0</formula>
    </cfRule>
  </conditionalFormatting>
  <conditionalFormatting sqref="A38">
    <cfRule type="expression" dxfId="280" priority="650" stopIfTrue="1">
      <formula>$DC23=1</formula>
    </cfRule>
  </conditionalFormatting>
  <conditionalFormatting sqref="A38:B38">
    <cfRule type="expression" dxfId="279" priority="648" stopIfTrue="1">
      <formula>$CW23&gt;0</formula>
    </cfRule>
    <cfRule type="expression" dxfId="278" priority="649" stopIfTrue="1">
      <formula>$CV23&gt;0</formula>
    </cfRule>
  </conditionalFormatting>
  <conditionalFormatting sqref="A81:A83">
    <cfRule type="expression" dxfId="277" priority="266" stopIfTrue="1">
      <formula>$DB44=1</formula>
    </cfRule>
  </conditionalFormatting>
  <conditionalFormatting sqref="A81:B83">
    <cfRule type="expression" dxfId="276" priority="264" stopIfTrue="1">
      <formula>$CV44&gt;0</formula>
    </cfRule>
    <cfRule type="expression" dxfId="275" priority="265" stopIfTrue="1">
      <formula>$CU44&gt;0</formula>
    </cfRule>
  </conditionalFormatting>
  <conditionalFormatting sqref="A81:A83">
    <cfRule type="expression" dxfId="274" priority="263" stopIfTrue="1">
      <formula>$DB44=1</formula>
    </cfRule>
  </conditionalFormatting>
  <conditionalFormatting sqref="A81:B83">
    <cfRule type="expression" dxfId="273" priority="261" stopIfTrue="1">
      <formula>$CV44&gt;0</formula>
    </cfRule>
    <cfRule type="expression" dxfId="272" priority="262" stopIfTrue="1">
      <formula>$CU44&gt;0</formula>
    </cfRule>
  </conditionalFormatting>
  <conditionalFormatting sqref="A81:A83">
    <cfRule type="expression" dxfId="271" priority="260" stopIfTrue="1">
      <formula>$DC44=1</formula>
    </cfRule>
  </conditionalFormatting>
  <conditionalFormatting sqref="A81:B83">
    <cfRule type="expression" dxfId="270" priority="258" stopIfTrue="1">
      <formula>$CW44&gt;0</formula>
    </cfRule>
    <cfRule type="expression" dxfId="269" priority="259" stopIfTrue="1">
      <formula>$CV44&gt;0</formula>
    </cfRule>
  </conditionalFormatting>
  <conditionalFormatting sqref="A26">
    <cfRule type="expression" dxfId="268" priority="257" stopIfTrue="1">
      <formula>$DB14=1</formula>
    </cfRule>
  </conditionalFormatting>
  <conditionalFormatting sqref="A26:B26">
    <cfRule type="expression" dxfId="267" priority="255" stopIfTrue="1">
      <formula>$CV14&gt;0</formula>
    </cfRule>
    <cfRule type="expression" dxfId="266" priority="256" stopIfTrue="1">
      <formula>$CU14&gt;0</formula>
    </cfRule>
  </conditionalFormatting>
  <conditionalFormatting sqref="A26">
    <cfRule type="expression" dxfId="265" priority="254" stopIfTrue="1">
      <formula>$DB14=1</formula>
    </cfRule>
  </conditionalFormatting>
  <conditionalFormatting sqref="A26:B26">
    <cfRule type="expression" dxfId="264" priority="252" stopIfTrue="1">
      <formula>$CV14&gt;0</formula>
    </cfRule>
    <cfRule type="expression" dxfId="263" priority="253" stopIfTrue="1">
      <formula>$CU14&gt;0</formula>
    </cfRule>
  </conditionalFormatting>
  <conditionalFormatting sqref="A26">
    <cfRule type="expression" dxfId="262" priority="251" stopIfTrue="1">
      <formula>$DC14=1</formula>
    </cfRule>
  </conditionalFormatting>
  <conditionalFormatting sqref="A26:B26">
    <cfRule type="expression" dxfId="261" priority="249" stopIfTrue="1">
      <formula>$CW14&gt;0</formula>
    </cfRule>
    <cfRule type="expression" dxfId="260" priority="250" stopIfTrue="1">
      <formula>$CV14&gt;0</formula>
    </cfRule>
  </conditionalFormatting>
  <conditionalFormatting sqref="A30 A18">
    <cfRule type="expression" dxfId="259" priority="248" stopIfTrue="1">
      <formula>$DB14=1</formula>
    </cfRule>
  </conditionalFormatting>
  <conditionalFormatting sqref="A30:B30 A18:B18">
    <cfRule type="expression" dxfId="258" priority="246" stopIfTrue="1">
      <formula>$CV14&gt;0</formula>
    </cfRule>
    <cfRule type="expression" dxfId="257" priority="247" stopIfTrue="1">
      <formula>$CU14&gt;0</formula>
    </cfRule>
  </conditionalFormatting>
  <conditionalFormatting sqref="A30">
    <cfRule type="expression" dxfId="256" priority="245" stopIfTrue="1">
      <formula>$DB26=1</formula>
    </cfRule>
  </conditionalFormatting>
  <conditionalFormatting sqref="A30:B30 A18:B18">
    <cfRule type="expression" dxfId="255" priority="243" stopIfTrue="1">
      <formula>$CV14&gt;0</formula>
    </cfRule>
    <cfRule type="expression" dxfId="254" priority="244" stopIfTrue="1">
      <formula>$CU14&gt;0</formula>
    </cfRule>
  </conditionalFormatting>
  <conditionalFormatting sqref="A30 A18">
    <cfRule type="expression" dxfId="253" priority="242" stopIfTrue="1">
      <formula>$DC14=1</formula>
    </cfRule>
  </conditionalFormatting>
  <conditionalFormatting sqref="A30:B30 A18:B18">
    <cfRule type="expression" dxfId="252" priority="240" stopIfTrue="1">
      <formula>$CW14&gt;0</formula>
    </cfRule>
    <cfRule type="expression" dxfId="251" priority="241" stopIfTrue="1">
      <formula>$CV14&gt;0</formula>
    </cfRule>
  </conditionalFormatting>
  <conditionalFormatting sqref="A34">
    <cfRule type="expression" dxfId="250" priority="239" stopIfTrue="1">
      <formula>$DB30=1</formula>
    </cfRule>
  </conditionalFormatting>
  <conditionalFormatting sqref="A34:B34">
    <cfRule type="expression" dxfId="249" priority="237" stopIfTrue="1">
      <formula>$CV30&gt;0</formula>
    </cfRule>
    <cfRule type="expression" dxfId="248" priority="238" stopIfTrue="1">
      <formula>$CU30&gt;0</formula>
    </cfRule>
  </conditionalFormatting>
  <conditionalFormatting sqref="A34">
    <cfRule type="expression" dxfId="247" priority="236" stopIfTrue="1">
      <formula>$DB30=1</formula>
    </cfRule>
  </conditionalFormatting>
  <conditionalFormatting sqref="A34:B34">
    <cfRule type="expression" dxfId="246" priority="234" stopIfTrue="1">
      <formula>$CV30&gt;0</formula>
    </cfRule>
    <cfRule type="expression" dxfId="245" priority="235" stopIfTrue="1">
      <formula>$CU30&gt;0</formula>
    </cfRule>
  </conditionalFormatting>
  <conditionalFormatting sqref="A34">
    <cfRule type="expression" dxfId="244" priority="233" stopIfTrue="1">
      <formula>$DC30=1</formula>
    </cfRule>
  </conditionalFormatting>
  <conditionalFormatting sqref="A34:B34">
    <cfRule type="expression" dxfId="243" priority="231" stopIfTrue="1">
      <formula>$CW30&gt;0</formula>
    </cfRule>
    <cfRule type="expression" dxfId="242" priority="232" stopIfTrue="1">
      <formula>$CV30&gt;0</formula>
    </cfRule>
  </conditionalFormatting>
  <conditionalFormatting sqref="A38">
    <cfRule type="expression" dxfId="241" priority="230" stopIfTrue="1">
      <formula>$DB34=1</formula>
    </cfRule>
  </conditionalFormatting>
  <conditionalFormatting sqref="A38:B38">
    <cfRule type="expression" dxfId="240" priority="228" stopIfTrue="1">
      <formula>$CV34&gt;0</formula>
    </cfRule>
    <cfRule type="expression" dxfId="239" priority="229" stopIfTrue="1">
      <formula>$CU34&gt;0</formula>
    </cfRule>
  </conditionalFormatting>
  <conditionalFormatting sqref="A38">
    <cfRule type="expression" dxfId="238" priority="227" stopIfTrue="1">
      <formula>$DB34=1</formula>
    </cfRule>
  </conditionalFormatting>
  <conditionalFormatting sqref="A38:B38">
    <cfRule type="expression" dxfId="237" priority="225" stopIfTrue="1">
      <formula>$CV34&gt;0</formula>
    </cfRule>
    <cfRule type="expression" dxfId="236" priority="226" stopIfTrue="1">
      <formula>$CU34&gt;0</formula>
    </cfRule>
  </conditionalFormatting>
  <conditionalFormatting sqref="A38">
    <cfRule type="expression" dxfId="235" priority="224" stopIfTrue="1">
      <formula>$DC34=1</formula>
    </cfRule>
  </conditionalFormatting>
  <conditionalFormatting sqref="A38:B38">
    <cfRule type="expression" dxfId="234" priority="222" stopIfTrue="1">
      <formula>$CW34&gt;0</formula>
    </cfRule>
    <cfRule type="expression" dxfId="233" priority="223" stopIfTrue="1">
      <formula>$CV34&gt;0</formula>
    </cfRule>
  </conditionalFormatting>
  <conditionalFormatting sqref="A42">
    <cfRule type="expression" dxfId="232" priority="221" stopIfTrue="1">
      <formula>$DB38=1</formula>
    </cfRule>
  </conditionalFormatting>
  <conditionalFormatting sqref="A42:B42">
    <cfRule type="expression" dxfId="231" priority="219" stopIfTrue="1">
      <formula>$CV38&gt;0</formula>
    </cfRule>
    <cfRule type="expression" dxfId="230" priority="220" stopIfTrue="1">
      <formula>$CU38&gt;0</formula>
    </cfRule>
  </conditionalFormatting>
  <conditionalFormatting sqref="A42">
    <cfRule type="expression" dxfId="229" priority="218" stopIfTrue="1">
      <formula>$DB38=1</formula>
    </cfRule>
  </conditionalFormatting>
  <conditionalFormatting sqref="A42:B42">
    <cfRule type="expression" dxfId="228" priority="216" stopIfTrue="1">
      <formula>$CV38&gt;0</formula>
    </cfRule>
    <cfRule type="expression" dxfId="227" priority="217" stopIfTrue="1">
      <formula>$CU38&gt;0</formula>
    </cfRule>
  </conditionalFormatting>
  <conditionalFormatting sqref="A42">
    <cfRule type="expression" dxfId="226" priority="215" stopIfTrue="1">
      <formula>$DC38=1</formula>
    </cfRule>
  </conditionalFormatting>
  <conditionalFormatting sqref="A42:B42">
    <cfRule type="expression" dxfId="225" priority="213" stopIfTrue="1">
      <formula>$CW38&gt;0</formula>
    </cfRule>
    <cfRule type="expression" dxfId="224" priority="214" stopIfTrue="1">
      <formula>$CV38&gt;0</formula>
    </cfRule>
  </conditionalFormatting>
  <conditionalFormatting sqref="A46">
    <cfRule type="expression" dxfId="223" priority="212" stopIfTrue="1">
      <formula>$DB42=1</formula>
    </cfRule>
  </conditionalFormatting>
  <conditionalFormatting sqref="A46:B46">
    <cfRule type="expression" dxfId="222" priority="210" stopIfTrue="1">
      <formula>$CV42&gt;0</formula>
    </cfRule>
    <cfRule type="expression" dxfId="221" priority="211" stopIfTrue="1">
      <formula>$CU42&gt;0</formula>
    </cfRule>
  </conditionalFormatting>
  <conditionalFormatting sqref="A46">
    <cfRule type="expression" dxfId="220" priority="209" stopIfTrue="1">
      <formula>$DB42=1</formula>
    </cfRule>
  </conditionalFormatting>
  <conditionalFormatting sqref="A46:B46">
    <cfRule type="expression" dxfId="219" priority="207" stopIfTrue="1">
      <formula>$CV42&gt;0</formula>
    </cfRule>
    <cfRule type="expression" dxfId="218" priority="208" stopIfTrue="1">
      <formula>$CU42&gt;0</formula>
    </cfRule>
  </conditionalFormatting>
  <conditionalFormatting sqref="A46">
    <cfRule type="expression" dxfId="217" priority="206" stopIfTrue="1">
      <formula>$DC42=1</formula>
    </cfRule>
  </conditionalFormatting>
  <conditionalFormatting sqref="A46:B46">
    <cfRule type="expression" dxfId="216" priority="204" stopIfTrue="1">
      <formula>$CW42&gt;0</formula>
    </cfRule>
    <cfRule type="expression" dxfId="215" priority="205" stopIfTrue="1">
      <formula>$CV42&gt;0</formula>
    </cfRule>
  </conditionalFormatting>
  <conditionalFormatting sqref="A53">
    <cfRule type="expression" dxfId="214" priority="203" stopIfTrue="1">
      <formula>$DB49=1</formula>
    </cfRule>
  </conditionalFormatting>
  <conditionalFormatting sqref="A53:B53">
    <cfRule type="expression" dxfId="213" priority="201" stopIfTrue="1">
      <formula>$CV49&gt;0</formula>
    </cfRule>
    <cfRule type="expression" dxfId="212" priority="202" stopIfTrue="1">
      <formula>$CU49&gt;0</formula>
    </cfRule>
  </conditionalFormatting>
  <conditionalFormatting sqref="A53">
    <cfRule type="expression" dxfId="211" priority="200" stopIfTrue="1">
      <formula>$DB49=1</formula>
    </cfRule>
  </conditionalFormatting>
  <conditionalFormatting sqref="A53:B53">
    <cfRule type="expression" dxfId="210" priority="198" stopIfTrue="1">
      <formula>$CV49&gt;0</formula>
    </cfRule>
    <cfRule type="expression" dxfId="209" priority="199" stopIfTrue="1">
      <formula>$CU49&gt;0</formula>
    </cfRule>
  </conditionalFormatting>
  <conditionalFormatting sqref="A53">
    <cfRule type="expression" dxfId="208" priority="197" stopIfTrue="1">
      <formula>$DC49=1</formula>
    </cfRule>
  </conditionalFormatting>
  <conditionalFormatting sqref="A53:B53">
    <cfRule type="expression" dxfId="207" priority="195" stopIfTrue="1">
      <formula>$CW49&gt;0</formula>
    </cfRule>
    <cfRule type="expression" dxfId="206" priority="196" stopIfTrue="1">
      <formula>$CV49&gt;0</formula>
    </cfRule>
  </conditionalFormatting>
  <conditionalFormatting sqref="A57">
    <cfRule type="expression" dxfId="205" priority="194" stopIfTrue="1">
      <formula>$DB53=1</formula>
    </cfRule>
  </conditionalFormatting>
  <conditionalFormatting sqref="A57:B57">
    <cfRule type="expression" dxfId="204" priority="192" stopIfTrue="1">
      <formula>$CV53&gt;0</formula>
    </cfRule>
    <cfRule type="expression" dxfId="203" priority="193" stopIfTrue="1">
      <formula>$CU53&gt;0</formula>
    </cfRule>
  </conditionalFormatting>
  <conditionalFormatting sqref="A57">
    <cfRule type="expression" dxfId="202" priority="191" stopIfTrue="1">
      <formula>$DB53=1</formula>
    </cfRule>
  </conditionalFormatting>
  <conditionalFormatting sqref="A57:B57">
    <cfRule type="expression" dxfId="201" priority="189" stopIfTrue="1">
      <formula>$CV53&gt;0</formula>
    </cfRule>
    <cfRule type="expression" dxfId="200" priority="190" stopIfTrue="1">
      <formula>$CU53&gt;0</formula>
    </cfRule>
  </conditionalFormatting>
  <conditionalFormatting sqref="A57">
    <cfRule type="expression" dxfId="199" priority="188" stopIfTrue="1">
      <formula>$DC53=1</formula>
    </cfRule>
  </conditionalFormatting>
  <conditionalFormatting sqref="A57:B57">
    <cfRule type="expression" dxfId="198" priority="186" stopIfTrue="1">
      <formula>$CW53&gt;0</formula>
    </cfRule>
    <cfRule type="expression" dxfId="197" priority="187" stopIfTrue="1">
      <formula>$CV53&gt;0</formula>
    </cfRule>
  </conditionalFormatting>
  <conditionalFormatting sqref="A61">
    <cfRule type="expression" dxfId="196" priority="185" stopIfTrue="1">
      <formula>$DB57=1</formula>
    </cfRule>
  </conditionalFormatting>
  <conditionalFormatting sqref="A61:B61">
    <cfRule type="expression" dxfId="195" priority="183" stopIfTrue="1">
      <formula>$CV57&gt;0</formula>
    </cfRule>
    <cfRule type="expression" dxfId="194" priority="184" stopIfTrue="1">
      <formula>$CU57&gt;0</formula>
    </cfRule>
  </conditionalFormatting>
  <conditionalFormatting sqref="A61">
    <cfRule type="expression" dxfId="193" priority="182" stopIfTrue="1">
      <formula>$DB57=1</formula>
    </cfRule>
  </conditionalFormatting>
  <conditionalFormatting sqref="A61:B61">
    <cfRule type="expression" dxfId="192" priority="180" stopIfTrue="1">
      <formula>$CV57&gt;0</formula>
    </cfRule>
    <cfRule type="expression" dxfId="191" priority="181" stopIfTrue="1">
      <formula>$CU57&gt;0</formula>
    </cfRule>
  </conditionalFormatting>
  <conditionalFormatting sqref="A61">
    <cfRule type="expression" dxfId="190" priority="179" stopIfTrue="1">
      <formula>$DC57=1</formula>
    </cfRule>
  </conditionalFormatting>
  <conditionalFormatting sqref="A61:B61">
    <cfRule type="expression" dxfId="189" priority="177" stopIfTrue="1">
      <formula>$CW57&gt;0</formula>
    </cfRule>
    <cfRule type="expression" dxfId="188" priority="178" stopIfTrue="1">
      <formula>$CV57&gt;0</formula>
    </cfRule>
  </conditionalFormatting>
  <conditionalFormatting sqref="A67">
    <cfRule type="expression" dxfId="187" priority="176" stopIfTrue="1">
      <formula>$DB63=1</formula>
    </cfRule>
  </conditionalFormatting>
  <conditionalFormatting sqref="A67:B67">
    <cfRule type="expression" dxfId="186" priority="174" stopIfTrue="1">
      <formula>$CV63&gt;0</formula>
    </cfRule>
    <cfRule type="expression" dxfId="185" priority="175" stopIfTrue="1">
      <formula>$CU63&gt;0</formula>
    </cfRule>
  </conditionalFormatting>
  <conditionalFormatting sqref="A67">
    <cfRule type="expression" dxfId="184" priority="173" stopIfTrue="1">
      <formula>$DB63=1</formula>
    </cfRule>
  </conditionalFormatting>
  <conditionalFormatting sqref="A67:B67">
    <cfRule type="expression" dxfId="183" priority="171" stopIfTrue="1">
      <formula>$CV63&gt;0</formula>
    </cfRule>
    <cfRule type="expression" dxfId="182" priority="172" stopIfTrue="1">
      <formula>$CU63&gt;0</formula>
    </cfRule>
  </conditionalFormatting>
  <conditionalFormatting sqref="A67">
    <cfRule type="expression" dxfId="181" priority="170" stopIfTrue="1">
      <formula>$DC63=1</formula>
    </cfRule>
  </conditionalFormatting>
  <conditionalFormatting sqref="A67:B67">
    <cfRule type="expression" dxfId="180" priority="168" stopIfTrue="1">
      <formula>$CW63&gt;0</formula>
    </cfRule>
    <cfRule type="expression" dxfId="179" priority="169" stopIfTrue="1">
      <formula>$CV63&gt;0</formula>
    </cfRule>
  </conditionalFormatting>
  <conditionalFormatting sqref="A83">
    <cfRule type="expression" dxfId="178" priority="167" stopIfTrue="1">
      <formula>$DB79=1</formula>
    </cfRule>
  </conditionalFormatting>
  <conditionalFormatting sqref="A83:B83">
    <cfRule type="expression" dxfId="177" priority="165" stopIfTrue="1">
      <formula>$CV79&gt;0</formula>
    </cfRule>
    <cfRule type="expression" dxfId="176" priority="166" stopIfTrue="1">
      <formula>$CU79&gt;0</formula>
    </cfRule>
  </conditionalFormatting>
  <conditionalFormatting sqref="A83">
    <cfRule type="expression" dxfId="175" priority="164" stopIfTrue="1">
      <formula>$DB79=1</formula>
    </cfRule>
  </conditionalFormatting>
  <conditionalFormatting sqref="A83:B83">
    <cfRule type="expression" dxfId="174" priority="162" stopIfTrue="1">
      <formula>$CV79&gt;0</formula>
    </cfRule>
    <cfRule type="expression" dxfId="173" priority="163" stopIfTrue="1">
      <formula>$CU79&gt;0</formula>
    </cfRule>
  </conditionalFormatting>
  <conditionalFormatting sqref="A83">
    <cfRule type="expression" dxfId="172" priority="161" stopIfTrue="1">
      <formula>$DC79=1</formula>
    </cfRule>
  </conditionalFormatting>
  <conditionalFormatting sqref="A83:B83">
    <cfRule type="expression" dxfId="171" priority="159" stopIfTrue="1">
      <formula>$CW79&gt;0</formula>
    </cfRule>
    <cfRule type="expression" dxfId="170" priority="160" stopIfTrue="1">
      <formula>$CV79&gt;0</formula>
    </cfRule>
  </conditionalFormatting>
  <conditionalFormatting sqref="A88 A20">
    <cfRule type="expression" dxfId="169" priority="158" stopIfTrue="1">
      <formula>$DB15=1</formula>
    </cfRule>
  </conditionalFormatting>
  <conditionalFormatting sqref="A88:B88 A20:B20">
    <cfRule type="expression" dxfId="168" priority="156" stopIfTrue="1">
      <formula>$CV15&gt;0</formula>
    </cfRule>
    <cfRule type="expression" dxfId="167" priority="157" stopIfTrue="1">
      <formula>$CU15&gt;0</formula>
    </cfRule>
  </conditionalFormatting>
  <conditionalFormatting sqref="A88">
    <cfRule type="expression" dxfId="166" priority="155" stopIfTrue="1">
      <formula>$DB83=1</formula>
    </cfRule>
  </conditionalFormatting>
  <conditionalFormatting sqref="A88:B88 A20:B20">
    <cfRule type="expression" dxfId="165" priority="153" stopIfTrue="1">
      <formula>$CV15&gt;0</formula>
    </cfRule>
    <cfRule type="expression" dxfId="164" priority="154" stopIfTrue="1">
      <formula>$CU15&gt;0</formula>
    </cfRule>
  </conditionalFormatting>
  <conditionalFormatting sqref="A88 A20">
    <cfRule type="expression" dxfId="163" priority="152" stopIfTrue="1">
      <formula>$DC15=1</formula>
    </cfRule>
  </conditionalFormatting>
  <conditionalFormatting sqref="A88:B88 A20:B20">
    <cfRule type="expression" dxfId="162" priority="150" stopIfTrue="1">
      <formula>$CW15&gt;0</formula>
    </cfRule>
    <cfRule type="expression" dxfId="161" priority="151" stopIfTrue="1">
      <formula>$CV15&gt;0</formula>
    </cfRule>
  </conditionalFormatting>
  <conditionalFormatting sqref="A92">
    <cfRule type="expression" dxfId="160" priority="149" stopIfTrue="1">
      <formula>$DB88=1</formula>
    </cfRule>
  </conditionalFormatting>
  <conditionalFormatting sqref="A92:B92">
    <cfRule type="expression" dxfId="159" priority="147" stopIfTrue="1">
      <formula>$CV88&gt;0</formula>
    </cfRule>
    <cfRule type="expression" dxfId="158" priority="148" stopIfTrue="1">
      <formula>$CU88&gt;0</formula>
    </cfRule>
  </conditionalFormatting>
  <conditionalFormatting sqref="A92">
    <cfRule type="expression" dxfId="157" priority="146" stopIfTrue="1">
      <formula>$DB88=1</formula>
    </cfRule>
  </conditionalFormatting>
  <conditionalFormatting sqref="A92:B92">
    <cfRule type="expression" dxfId="156" priority="144" stopIfTrue="1">
      <formula>$CV88&gt;0</formula>
    </cfRule>
    <cfRule type="expression" dxfId="155" priority="145" stopIfTrue="1">
      <formula>$CU88&gt;0</formula>
    </cfRule>
  </conditionalFormatting>
  <conditionalFormatting sqref="A92">
    <cfRule type="expression" dxfId="154" priority="143" stopIfTrue="1">
      <formula>$DC88=1</formula>
    </cfRule>
  </conditionalFormatting>
  <conditionalFormatting sqref="A92:B92">
    <cfRule type="expression" dxfId="153" priority="141" stopIfTrue="1">
      <formula>$CW88&gt;0</formula>
    </cfRule>
    <cfRule type="expression" dxfId="152" priority="142" stopIfTrue="1">
      <formula>$CV88&gt;0</formula>
    </cfRule>
  </conditionalFormatting>
  <conditionalFormatting sqref="A119">
    <cfRule type="expression" dxfId="151" priority="132" stopIfTrue="1">
      <formula>$DB110=1</formula>
    </cfRule>
  </conditionalFormatting>
  <conditionalFormatting sqref="A119:B119">
    <cfRule type="expression" dxfId="150" priority="130" stopIfTrue="1">
      <formula>$CV110&gt;0</formula>
    </cfRule>
    <cfRule type="expression" dxfId="149" priority="131" stopIfTrue="1">
      <formula>$CU110&gt;0</formula>
    </cfRule>
  </conditionalFormatting>
  <conditionalFormatting sqref="A119">
    <cfRule type="expression" dxfId="148" priority="129" stopIfTrue="1">
      <formula>$DB110=1</formula>
    </cfRule>
  </conditionalFormatting>
  <conditionalFormatting sqref="A119:B119">
    <cfRule type="expression" dxfId="147" priority="127" stopIfTrue="1">
      <formula>$CV110&gt;0</formula>
    </cfRule>
    <cfRule type="expression" dxfId="146" priority="128" stopIfTrue="1">
      <formula>$CU110&gt;0</formula>
    </cfRule>
  </conditionalFormatting>
  <conditionalFormatting sqref="A119">
    <cfRule type="expression" dxfId="145" priority="126" stopIfTrue="1">
      <formula>$DC110=1</formula>
    </cfRule>
  </conditionalFormatting>
  <conditionalFormatting sqref="A119:B119">
    <cfRule type="expression" dxfId="144" priority="124" stopIfTrue="1">
      <formula>$CW110&gt;0</formula>
    </cfRule>
    <cfRule type="expression" dxfId="143" priority="125" stopIfTrue="1">
      <formula>$CV110&gt;0</formula>
    </cfRule>
  </conditionalFormatting>
  <conditionalFormatting sqref="A125">
    <cfRule type="expression" dxfId="142" priority="123" stopIfTrue="1">
      <formula>$DB121=1</formula>
    </cfRule>
  </conditionalFormatting>
  <conditionalFormatting sqref="A125:B125">
    <cfRule type="expression" dxfId="141" priority="121" stopIfTrue="1">
      <formula>$CV121&gt;0</formula>
    </cfRule>
    <cfRule type="expression" dxfId="140" priority="122" stopIfTrue="1">
      <formula>$CU121&gt;0</formula>
    </cfRule>
  </conditionalFormatting>
  <conditionalFormatting sqref="A125">
    <cfRule type="expression" dxfId="139" priority="120" stopIfTrue="1">
      <formula>$DB121=1</formula>
    </cfRule>
  </conditionalFormatting>
  <conditionalFormatting sqref="A125:B125">
    <cfRule type="expression" dxfId="138" priority="118" stopIfTrue="1">
      <formula>$CV121&gt;0</formula>
    </cfRule>
    <cfRule type="expression" dxfId="137" priority="119" stopIfTrue="1">
      <formula>$CU121&gt;0</formula>
    </cfRule>
  </conditionalFormatting>
  <conditionalFormatting sqref="A125">
    <cfRule type="expression" dxfId="136" priority="117" stopIfTrue="1">
      <formula>$DC121=1</formula>
    </cfRule>
  </conditionalFormatting>
  <conditionalFormatting sqref="A125:B125">
    <cfRule type="expression" dxfId="135" priority="115" stopIfTrue="1">
      <formula>$CW121&gt;0</formula>
    </cfRule>
    <cfRule type="expression" dxfId="134" priority="116" stopIfTrue="1">
      <formula>$CV121&gt;0</formula>
    </cfRule>
  </conditionalFormatting>
  <conditionalFormatting sqref="A95">
    <cfRule type="expression" dxfId="133" priority="1067" stopIfTrue="1">
      <formula>#REF!=1</formula>
    </cfRule>
  </conditionalFormatting>
  <conditionalFormatting sqref="A95:B95">
    <cfRule type="expression" dxfId="132" priority="1068" stopIfTrue="1">
      <formula>#REF!&gt;0</formula>
    </cfRule>
    <cfRule type="expression" dxfId="131" priority="1069" stopIfTrue="1">
      <formula>#REF!&gt;0</formula>
    </cfRule>
  </conditionalFormatting>
  <conditionalFormatting sqref="A95:B95">
    <cfRule type="expression" dxfId="130" priority="1070" stopIfTrue="1">
      <formula>#REF!&gt;0</formula>
    </cfRule>
    <cfRule type="expression" dxfId="129" priority="1071" stopIfTrue="1">
      <formula>#REF!&gt;0</formula>
    </cfRule>
  </conditionalFormatting>
  <conditionalFormatting sqref="A95">
    <cfRule type="expression" dxfId="128" priority="1072" stopIfTrue="1">
      <formula>#REF!=1</formula>
    </cfRule>
  </conditionalFormatting>
  <conditionalFormatting sqref="A95:B95">
    <cfRule type="expression" dxfId="127" priority="1073" stopIfTrue="1">
      <formula>#REF!&gt;0</formula>
    </cfRule>
    <cfRule type="expression" dxfId="126" priority="1074" stopIfTrue="1">
      <formula>#REF!&gt;0</formula>
    </cfRule>
  </conditionalFormatting>
  <conditionalFormatting sqref="A115">
    <cfRule type="expression" dxfId="125" priority="114" stopIfTrue="1">
      <formula>$DB111=1</formula>
    </cfRule>
  </conditionalFormatting>
  <conditionalFormatting sqref="A115:B115">
    <cfRule type="expression" dxfId="124" priority="112" stopIfTrue="1">
      <formula>$CV111&gt;0</formula>
    </cfRule>
    <cfRule type="expression" dxfId="123" priority="113" stopIfTrue="1">
      <formula>$CU111&gt;0</formula>
    </cfRule>
  </conditionalFormatting>
  <conditionalFormatting sqref="A115">
    <cfRule type="expression" dxfId="122" priority="111" stopIfTrue="1">
      <formula>$DB111=1</formula>
    </cfRule>
  </conditionalFormatting>
  <conditionalFormatting sqref="A115:B115">
    <cfRule type="expression" dxfId="121" priority="109" stopIfTrue="1">
      <formula>$CV111&gt;0</formula>
    </cfRule>
    <cfRule type="expression" dxfId="120" priority="110" stopIfTrue="1">
      <formula>$CU111&gt;0</formula>
    </cfRule>
  </conditionalFormatting>
  <conditionalFormatting sqref="A115">
    <cfRule type="expression" dxfId="119" priority="108" stopIfTrue="1">
      <formula>$DC111=1</formula>
    </cfRule>
  </conditionalFormatting>
  <conditionalFormatting sqref="A115:B115">
    <cfRule type="expression" dxfId="118" priority="106" stopIfTrue="1">
      <formula>$CW111&gt;0</formula>
    </cfRule>
    <cfRule type="expression" dxfId="117" priority="107" stopIfTrue="1">
      <formula>$CV111&gt;0</formula>
    </cfRule>
  </conditionalFormatting>
  <conditionalFormatting sqref="A142">
    <cfRule type="expression" dxfId="116" priority="105" stopIfTrue="1">
      <formula>$DB132=1</formula>
    </cfRule>
  </conditionalFormatting>
  <conditionalFormatting sqref="A142:B142">
    <cfRule type="expression" dxfId="115" priority="103" stopIfTrue="1">
      <formula>$CV132&gt;0</formula>
    </cfRule>
    <cfRule type="expression" dxfId="114" priority="104" stopIfTrue="1">
      <formula>$CU132&gt;0</formula>
    </cfRule>
  </conditionalFormatting>
  <conditionalFormatting sqref="A142">
    <cfRule type="expression" dxfId="113" priority="102" stopIfTrue="1">
      <formula>$DB132=1</formula>
    </cfRule>
  </conditionalFormatting>
  <conditionalFormatting sqref="A142:B142">
    <cfRule type="expression" dxfId="112" priority="100" stopIfTrue="1">
      <formula>$CV132&gt;0</formula>
    </cfRule>
    <cfRule type="expression" dxfId="111" priority="101" stopIfTrue="1">
      <formula>$CU132&gt;0</formula>
    </cfRule>
  </conditionalFormatting>
  <conditionalFormatting sqref="A142">
    <cfRule type="expression" dxfId="110" priority="99" stopIfTrue="1">
      <formula>$DC132=1</formula>
    </cfRule>
  </conditionalFormatting>
  <conditionalFormatting sqref="A142:B142">
    <cfRule type="expression" dxfId="109" priority="97" stopIfTrue="1">
      <formula>$CW132&gt;0</formula>
    </cfRule>
    <cfRule type="expression" dxfId="108" priority="98" stopIfTrue="1">
      <formula>$CV132&gt;0</formula>
    </cfRule>
  </conditionalFormatting>
  <conditionalFormatting sqref="A142">
    <cfRule type="expression" dxfId="107" priority="96" stopIfTrue="1">
      <formula>$DB132=1</formula>
    </cfRule>
  </conditionalFormatting>
  <conditionalFormatting sqref="A142:B142">
    <cfRule type="expression" dxfId="106" priority="94" stopIfTrue="1">
      <formula>$CV132&gt;0</formula>
    </cfRule>
    <cfRule type="expression" dxfId="105" priority="95" stopIfTrue="1">
      <formula>$CU132&gt;0</formula>
    </cfRule>
  </conditionalFormatting>
  <conditionalFormatting sqref="A142">
    <cfRule type="expression" dxfId="104" priority="93" stopIfTrue="1">
      <formula>$DB132=1</formula>
    </cfRule>
  </conditionalFormatting>
  <conditionalFormatting sqref="A142:B142">
    <cfRule type="expression" dxfId="103" priority="91" stopIfTrue="1">
      <formula>$CV132&gt;0</formula>
    </cfRule>
    <cfRule type="expression" dxfId="102" priority="92" stopIfTrue="1">
      <formula>$CU132&gt;0</formula>
    </cfRule>
  </conditionalFormatting>
  <conditionalFormatting sqref="A142">
    <cfRule type="expression" dxfId="101" priority="90" stopIfTrue="1">
      <formula>$DC132=1</formula>
    </cfRule>
  </conditionalFormatting>
  <conditionalFormatting sqref="A142:B142">
    <cfRule type="expression" dxfId="100" priority="88" stopIfTrue="1">
      <formula>$CW132&gt;0</formula>
    </cfRule>
    <cfRule type="expression" dxfId="99" priority="89" stopIfTrue="1">
      <formula>$CV132&gt;0</formula>
    </cfRule>
  </conditionalFormatting>
  <conditionalFormatting sqref="A144:A146">
    <cfRule type="expression" dxfId="98" priority="87" stopIfTrue="1">
      <formula>$DB140=1</formula>
    </cfRule>
  </conditionalFormatting>
  <conditionalFormatting sqref="A144:B146">
    <cfRule type="expression" dxfId="97" priority="85" stopIfTrue="1">
      <formula>$CV140&gt;0</formula>
    </cfRule>
    <cfRule type="expression" dxfId="96" priority="86" stopIfTrue="1">
      <formula>$CU140&gt;0</formula>
    </cfRule>
  </conditionalFormatting>
  <conditionalFormatting sqref="A144:A146">
    <cfRule type="expression" dxfId="95" priority="84" stopIfTrue="1">
      <formula>$DB140=1</formula>
    </cfRule>
  </conditionalFormatting>
  <conditionalFormatting sqref="A144:B146">
    <cfRule type="expression" dxfId="94" priority="82" stopIfTrue="1">
      <formula>$CV140&gt;0</formula>
    </cfRule>
    <cfRule type="expression" dxfId="93" priority="83" stopIfTrue="1">
      <formula>$CU140&gt;0</formula>
    </cfRule>
  </conditionalFormatting>
  <conditionalFormatting sqref="A144:A146">
    <cfRule type="expression" dxfId="92" priority="81" stopIfTrue="1">
      <formula>$DC140=1</formula>
    </cfRule>
  </conditionalFormatting>
  <conditionalFormatting sqref="A144:B146">
    <cfRule type="expression" dxfId="91" priority="79" stopIfTrue="1">
      <formula>$CW140&gt;0</formula>
    </cfRule>
    <cfRule type="expression" dxfId="90" priority="80" stopIfTrue="1">
      <formula>$CV140&gt;0</formula>
    </cfRule>
  </conditionalFormatting>
  <conditionalFormatting sqref="A144:A146">
    <cfRule type="expression" dxfId="89" priority="78" stopIfTrue="1">
      <formula>$DB140=1</formula>
    </cfRule>
  </conditionalFormatting>
  <conditionalFormatting sqref="A144:B146">
    <cfRule type="expression" dxfId="88" priority="76" stopIfTrue="1">
      <formula>$CV140&gt;0</formula>
    </cfRule>
    <cfRule type="expression" dxfId="87" priority="77" stopIfTrue="1">
      <formula>$CU140&gt;0</formula>
    </cfRule>
  </conditionalFormatting>
  <conditionalFormatting sqref="A144:A146">
    <cfRule type="expression" dxfId="86" priority="75" stopIfTrue="1">
      <formula>$DB140=1</formula>
    </cfRule>
  </conditionalFormatting>
  <conditionalFormatting sqref="A144:B146">
    <cfRule type="expression" dxfId="85" priority="73" stopIfTrue="1">
      <formula>$CV140&gt;0</formula>
    </cfRule>
    <cfRule type="expression" dxfId="84" priority="74" stopIfTrue="1">
      <formula>$CU140&gt;0</formula>
    </cfRule>
  </conditionalFormatting>
  <conditionalFormatting sqref="A144:A146">
    <cfRule type="expression" dxfId="83" priority="72" stopIfTrue="1">
      <formula>$DC140=1</formula>
    </cfRule>
  </conditionalFormatting>
  <conditionalFormatting sqref="A144:B146">
    <cfRule type="expression" dxfId="82" priority="70" stopIfTrue="1">
      <formula>$CW140&gt;0</formula>
    </cfRule>
    <cfRule type="expression" dxfId="81" priority="71" stopIfTrue="1">
      <formula>$CV140&gt;0</formula>
    </cfRule>
  </conditionalFormatting>
  <conditionalFormatting sqref="B144:B146">
    <cfRule type="expression" dxfId="80" priority="68" stopIfTrue="1">
      <formula>$CV140&gt;0</formula>
    </cfRule>
    <cfRule type="expression" dxfId="79" priority="69" stopIfTrue="1">
      <formula>$CU140&gt;0</formula>
    </cfRule>
  </conditionalFormatting>
  <conditionalFormatting sqref="B144:B146">
    <cfRule type="expression" dxfId="78" priority="66" stopIfTrue="1">
      <formula>$CV140&gt;0</formula>
    </cfRule>
    <cfRule type="expression" dxfId="77" priority="67" stopIfTrue="1">
      <formula>$CU140&gt;0</formula>
    </cfRule>
  </conditionalFormatting>
  <conditionalFormatting sqref="B144:B146">
    <cfRule type="expression" dxfId="76" priority="64" stopIfTrue="1">
      <formula>$CW140&gt;0</formula>
    </cfRule>
    <cfRule type="expression" dxfId="75" priority="65" stopIfTrue="1">
      <formula>$CV140&gt;0</formula>
    </cfRule>
  </conditionalFormatting>
  <conditionalFormatting sqref="B144:B146">
    <cfRule type="expression" dxfId="74" priority="62" stopIfTrue="1">
      <formula>$CV140&gt;0</formula>
    </cfRule>
    <cfRule type="expression" dxfId="73" priority="63" stopIfTrue="1">
      <formula>$CU140&gt;0</formula>
    </cfRule>
  </conditionalFormatting>
  <conditionalFormatting sqref="B144:B146">
    <cfRule type="expression" dxfId="72" priority="60" stopIfTrue="1">
      <formula>$CV140&gt;0</formula>
    </cfRule>
    <cfRule type="expression" dxfId="71" priority="61" stopIfTrue="1">
      <formula>$CU140&gt;0</formula>
    </cfRule>
  </conditionalFormatting>
  <conditionalFormatting sqref="B144:B146">
    <cfRule type="expression" dxfId="70" priority="58" stopIfTrue="1">
      <formula>$CW140&gt;0</formula>
    </cfRule>
    <cfRule type="expression" dxfId="69" priority="59" stopIfTrue="1">
      <formula>$CV140&gt;0</formula>
    </cfRule>
  </conditionalFormatting>
  <conditionalFormatting sqref="A146">
    <cfRule type="expression" dxfId="68" priority="57" stopIfTrue="1">
      <formula>$DB136=1</formula>
    </cfRule>
  </conditionalFormatting>
  <conditionalFormatting sqref="A146:B146">
    <cfRule type="expression" dxfId="67" priority="55" stopIfTrue="1">
      <formula>$CV136&gt;0</formula>
    </cfRule>
    <cfRule type="expression" dxfId="66" priority="56" stopIfTrue="1">
      <formula>$CU136&gt;0</formula>
    </cfRule>
  </conditionalFormatting>
  <conditionalFormatting sqref="A146">
    <cfRule type="expression" dxfId="65" priority="54" stopIfTrue="1">
      <formula>$DB136=1</formula>
    </cfRule>
  </conditionalFormatting>
  <conditionalFormatting sqref="A146:B146">
    <cfRule type="expression" dxfId="64" priority="52" stopIfTrue="1">
      <formula>$CV136&gt;0</formula>
    </cfRule>
    <cfRule type="expression" dxfId="63" priority="53" stopIfTrue="1">
      <formula>$CU136&gt;0</formula>
    </cfRule>
  </conditionalFormatting>
  <conditionalFormatting sqref="A146">
    <cfRule type="expression" dxfId="62" priority="51" stopIfTrue="1">
      <formula>$DC136=1</formula>
    </cfRule>
  </conditionalFormatting>
  <conditionalFormatting sqref="A146:B146">
    <cfRule type="expression" dxfId="61" priority="49" stopIfTrue="1">
      <formula>$CW136&gt;0</formula>
    </cfRule>
    <cfRule type="expression" dxfId="60" priority="50" stopIfTrue="1">
      <formula>$CV136&gt;0</formula>
    </cfRule>
  </conditionalFormatting>
  <conditionalFormatting sqref="A146">
    <cfRule type="expression" dxfId="59" priority="48" stopIfTrue="1">
      <formula>$DB136=1</formula>
    </cfRule>
  </conditionalFormatting>
  <conditionalFormatting sqref="A146:B146">
    <cfRule type="expression" dxfId="58" priority="46" stopIfTrue="1">
      <formula>$CV136&gt;0</formula>
    </cfRule>
    <cfRule type="expression" dxfId="57" priority="47" stopIfTrue="1">
      <formula>$CU136&gt;0</formula>
    </cfRule>
  </conditionalFormatting>
  <conditionalFormatting sqref="A146">
    <cfRule type="expression" dxfId="56" priority="45" stopIfTrue="1">
      <formula>$DB136=1</formula>
    </cfRule>
  </conditionalFormatting>
  <conditionalFormatting sqref="A146:B146">
    <cfRule type="expression" dxfId="55" priority="43" stopIfTrue="1">
      <formula>$CV136&gt;0</formula>
    </cfRule>
    <cfRule type="expression" dxfId="54" priority="44" stopIfTrue="1">
      <formula>$CU136&gt;0</formula>
    </cfRule>
  </conditionalFormatting>
  <conditionalFormatting sqref="A146">
    <cfRule type="expression" dxfId="53" priority="42" stopIfTrue="1">
      <formula>$DC136=1</formula>
    </cfRule>
  </conditionalFormatting>
  <conditionalFormatting sqref="A146:B146">
    <cfRule type="expression" dxfId="52" priority="40" stopIfTrue="1">
      <formula>$CW136&gt;0</formula>
    </cfRule>
    <cfRule type="expression" dxfId="51" priority="41" stopIfTrue="1">
      <formula>$CV136&gt;0</formula>
    </cfRule>
  </conditionalFormatting>
  <conditionalFormatting sqref="A154">
    <cfRule type="expression" dxfId="50" priority="27" stopIfTrue="1">
      <formula>$DB150=1</formula>
    </cfRule>
  </conditionalFormatting>
  <conditionalFormatting sqref="A154:B154">
    <cfRule type="expression" dxfId="49" priority="25" stopIfTrue="1">
      <formula>$CV150&gt;0</formula>
    </cfRule>
    <cfRule type="expression" dxfId="48" priority="26" stopIfTrue="1">
      <formula>$CU150&gt;0</formula>
    </cfRule>
  </conditionalFormatting>
  <conditionalFormatting sqref="A154">
    <cfRule type="expression" dxfId="47" priority="24" stopIfTrue="1">
      <formula>$DB150=1</formula>
    </cfRule>
  </conditionalFormatting>
  <conditionalFormatting sqref="A154:B154">
    <cfRule type="expression" dxfId="46" priority="22" stopIfTrue="1">
      <formula>$CV150&gt;0</formula>
    </cfRule>
    <cfRule type="expression" dxfId="45" priority="23" stopIfTrue="1">
      <formula>$CU150&gt;0</formula>
    </cfRule>
  </conditionalFormatting>
  <conditionalFormatting sqref="A154">
    <cfRule type="expression" dxfId="44" priority="21" stopIfTrue="1">
      <formula>$DC150=1</formula>
    </cfRule>
  </conditionalFormatting>
  <conditionalFormatting sqref="A154:B154">
    <cfRule type="expression" dxfId="43" priority="19" stopIfTrue="1">
      <formula>$CW150&gt;0</formula>
    </cfRule>
    <cfRule type="expression" dxfId="42" priority="20" stopIfTrue="1">
      <formula>$CV150&gt;0</formula>
    </cfRule>
  </conditionalFormatting>
  <conditionalFormatting sqref="A36:A37">
    <cfRule type="expression" dxfId="41" priority="1075" stopIfTrue="1">
      <formula>$DB13=1</formula>
    </cfRule>
  </conditionalFormatting>
  <conditionalFormatting sqref="A36:B37">
    <cfRule type="expression" dxfId="40" priority="1077" stopIfTrue="1">
      <formula>$CV13&gt;0</formula>
    </cfRule>
    <cfRule type="expression" dxfId="39" priority="1078" stopIfTrue="1">
      <formula>$CU13&gt;0</formula>
    </cfRule>
  </conditionalFormatting>
  <conditionalFormatting sqref="A36:B37">
    <cfRule type="expression" dxfId="38" priority="1083" stopIfTrue="1">
      <formula>$CV13&gt;0</formula>
    </cfRule>
    <cfRule type="expression" dxfId="37" priority="1084" stopIfTrue="1">
      <formula>$CU13&gt;0</formula>
    </cfRule>
  </conditionalFormatting>
  <conditionalFormatting sqref="A36:A37">
    <cfRule type="expression" dxfId="36" priority="1087" stopIfTrue="1">
      <formula>$DC13=1</formula>
    </cfRule>
  </conditionalFormatting>
  <conditionalFormatting sqref="A36:B37">
    <cfRule type="expression" dxfId="35" priority="1089" stopIfTrue="1">
      <formula>$CW13&gt;0</formula>
    </cfRule>
    <cfRule type="expression" dxfId="34" priority="1090" stopIfTrue="1">
      <formula>$CV13&gt;0</formula>
    </cfRule>
  </conditionalFormatting>
  <conditionalFormatting sqref="A22">
    <cfRule type="expression" dxfId="33" priority="1107" stopIfTrue="1">
      <formula>$DB15=1</formula>
    </cfRule>
  </conditionalFormatting>
  <conditionalFormatting sqref="A22:B22">
    <cfRule type="expression" dxfId="32" priority="1108" stopIfTrue="1">
      <formula>$CV15&gt;0</formula>
    </cfRule>
    <cfRule type="expression" dxfId="31" priority="1109" stopIfTrue="1">
      <formula>$CU15&gt;0</formula>
    </cfRule>
  </conditionalFormatting>
  <conditionalFormatting sqref="A22:B22">
    <cfRule type="expression" dxfId="30" priority="1110" stopIfTrue="1">
      <formula>$CV15&gt;0</formula>
    </cfRule>
    <cfRule type="expression" dxfId="29" priority="1111" stopIfTrue="1">
      <formula>$CU15&gt;0</formula>
    </cfRule>
  </conditionalFormatting>
  <conditionalFormatting sqref="A22">
    <cfRule type="expression" dxfId="28" priority="1112" stopIfTrue="1">
      <formula>$DC15=1</formula>
    </cfRule>
  </conditionalFormatting>
  <conditionalFormatting sqref="A22:B22">
    <cfRule type="expression" dxfId="27" priority="1113" stopIfTrue="1">
      <formula>$CW15&gt;0</formula>
    </cfRule>
    <cfRule type="expression" dxfId="26" priority="1114" stopIfTrue="1">
      <formula>$CV15&gt;0</formula>
    </cfRule>
  </conditionalFormatting>
  <conditionalFormatting sqref="A21">
    <cfRule type="expression" dxfId="25" priority="1131" stopIfTrue="1">
      <formula>$DB15=1</formula>
    </cfRule>
  </conditionalFormatting>
  <conditionalFormatting sqref="A21:B21">
    <cfRule type="expression" dxfId="24" priority="1132" stopIfTrue="1">
      <formula>$CV15&gt;0</formula>
    </cfRule>
    <cfRule type="expression" dxfId="23" priority="1133" stopIfTrue="1">
      <formula>$CU15&gt;0</formula>
    </cfRule>
  </conditionalFormatting>
  <conditionalFormatting sqref="A21:B21">
    <cfRule type="expression" dxfId="22" priority="1134" stopIfTrue="1">
      <formula>$CV15&gt;0</formula>
    </cfRule>
    <cfRule type="expression" dxfId="21" priority="1135" stopIfTrue="1">
      <formula>$CU15&gt;0</formula>
    </cfRule>
  </conditionalFormatting>
  <conditionalFormatting sqref="A21">
    <cfRule type="expression" dxfId="20" priority="1136" stopIfTrue="1">
      <formula>$DC15=1</formula>
    </cfRule>
  </conditionalFormatting>
  <conditionalFormatting sqref="A21:B21">
    <cfRule type="expression" dxfId="19" priority="1137" stopIfTrue="1">
      <formula>$CW15&gt;0</formula>
    </cfRule>
    <cfRule type="expression" dxfId="18" priority="1138" stopIfTrue="1">
      <formula>$CV15&gt;0</formula>
    </cfRule>
  </conditionalFormatting>
  <conditionalFormatting sqref="A22">
    <cfRule type="expression" dxfId="17" priority="9" stopIfTrue="1">
      <formula>$DB18=1</formula>
    </cfRule>
  </conditionalFormatting>
  <conditionalFormatting sqref="A22:B22">
    <cfRule type="expression" dxfId="15" priority="7" stopIfTrue="1">
      <formula>$CV18&gt;0</formula>
    </cfRule>
    <cfRule type="expression" dxfId="14" priority="8" stopIfTrue="1">
      <formula>$CU18&gt;0</formula>
    </cfRule>
  </conditionalFormatting>
  <conditionalFormatting sqref="A22">
    <cfRule type="expression" dxfId="11" priority="6" stopIfTrue="1">
      <formula>$DB18=1</formula>
    </cfRule>
  </conditionalFormatting>
  <conditionalFormatting sqref="A22:B22">
    <cfRule type="expression" dxfId="9" priority="4" stopIfTrue="1">
      <formula>$CV18&gt;0</formula>
    </cfRule>
    <cfRule type="expression" dxfId="8" priority="5" stopIfTrue="1">
      <formula>$CU18&gt;0</formula>
    </cfRule>
  </conditionalFormatting>
  <conditionalFormatting sqref="A22">
    <cfRule type="expression" dxfId="5" priority="3" stopIfTrue="1">
      <formula>$DC18=1</formula>
    </cfRule>
  </conditionalFormatting>
  <conditionalFormatting sqref="A22:B22">
    <cfRule type="expression" dxfId="3" priority="1" stopIfTrue="1">
      <formula>$CW18&gt;0</formula>
    </cfRule>
    <cfRule type="expression" dxfId="2" priority="2" stopIfTrue="1">
      <formula>$CV18&gt;0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2021-10-27T10:16:13Z</dcterms:modified>
</cp:coreProperties>
</file>