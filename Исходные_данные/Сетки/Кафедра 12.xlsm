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54" i="1"/>
  <c r="E53"/>
  <c r="D52"/>
  <c r="C52" s="1"/>
  <c r="F79"/>
  <c r="E78"/>
  <c r="D77"/>
  <c r="C77" s="1"/>
  <c r="F18" l="1"/>
  <c r="E17"/>
  <c r="D16"/>
  <c r="C16" l="1"/>
  <c r="F25"/>
  <c r="E24"/>
  <c r="D23"/>
  <c r="C23" s="1"/>
  <c r="F22" l="1"/>
  <c r="E21"/>
  <c r="D20"/>
  <c r="C20" l="1"/>
  <c r="F32"/>
  <c r="E31"/>
  <c r="D30"/>
  <c r="F29"/>
  <c r="E28"/>
  <c r="D27"/>
  <c r="C27" l="1"/>
  <c r="C30"/>
  <c r="F110"/>
  <c r="E109"/>
  <c r="D108"/>
  <c r="C108" s="1"/>
  <c r="F107"/>
  <c r="E106"/>
  <c r="D105"/>
  <c r="C105" s="1"/>
  <c r="F104"/>
  <c r="E103"/>
  <c r="D102"/>
  <c r="C102" s="1"/>
  <c r="F101"/>
  <c r="E100"/>
  <c r="D99"/>
  <c r="C99" s="1"/>
  <c r="F96" l="1"/>
  <c r="E95"/>
  <c r="D94"/>
  <c r="C94"/>
  <c r="F92" l="1"/>
  <c r="E91"/>
  <c r="D90"/>
  <c r="C90" s="1"/>
  <c r="F89"/>
  <c r="E88"/>
  <c r="D87"/>
  <c r="C87" s="1"/>
  <c r="F86"/>
  <c r="E85"/>
  <c r="D84"/>
  <c r="C84" s="1"/>
  <c r="F83"/>
  <c r="E82"/>
  <c r="D81"/>
  <c r="C81" s="1"/>
  <c r="F74" l="1"/>
  <c r="E73"/>
  <c r="D72"/>
  <c r="C72" s="1"/>
  <c r="F71"/>
  <c r="E70"/>
  <c r="D69"/>
  <c r="C69" s="1"/>
  <c r="F68"/>
  <c r="E67"/>
  <c r="D66"/>
  <c r="C66" s="1"/>
  <c r="F65"/>
  <c r="E64"/>
  <c r="D63"/>
  <c r="C63" s="1"/>
  <c r="F62"/>
  <c r="E61"/>
  <c r="D60"/>
  <c r="C60" s="1"/>
  <c r="F58" l="1"/>
  <c r="E57"/>
  <c r="D56"/>
  <c r="C56" s="1"/>
  <c r="F49" l="1"/>
  <c r="E48"/>
  <c r="D47"/>
  <c r="C47" s="1"/>
  <c r="F45" l="1"/>
  <c r="E44"/>
  <c r="D43"/>
  <c r="C43" s="1"/>
  <c r="F42"/>
  <c r="E41"/>
  <c r="D40"/>
  <c r="C40" s="1"/>
  <c r="F39"/>
  <c r="E38"/>
  <c r="D37"/>
  <c r="C37" s="1"/>
  <c r="F36"/>
  <c r="E35"/>
  <c r="D34"/>
  <c r="C34" s="1"/>
</calcChain>
</file>

<file path=xl/sharedStrings.xml><?xml version="1.0" encoding="utf-8"?>
<sst xmlns="http://schemas.openxmlformats.org/spreadsheetml/2006/main" count="98" uniqueCount="67">
  <si>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</si>
  <si>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</si>
  <si>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</si>
  <si>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</si>
  <si>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</si>
  <si>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</si>
  <si>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</si>
  <si>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</si>
  <si>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</si>
  <si>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</si>
  <si>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</si>
  <si>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</si>
  <si>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</si>
  <si>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</si>
  <si>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</si>
  <si>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</si>
  <si>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 xml:space="preserve">                     Учебная сетка</t>
  </si>
  <si>
    <t xml:space="preserve">                     Весенний семестр  2021/2022 учебный год</t>
  </si>
  <si>
    <t>Дифф.зачет</t>
  </si>
  <si>
    <t xml:space="preserve">               2 КУРС</t>
  </si>
  <si>
    <t xml:space="preserve">                                       Дисциплины 206 (ОрТОР)</t>
  </si>
  <si>
    <t xml:space="preserve">               3 КУРС</t>
  </si>
  <si>
    <t xml:space="preserve">Зачет </t>
  </si>
  <si>
    <t xml:space="preserve">                                       Дисциплины 205 (ОРТОП)</t>
  </si>
  <si>
    <t xml:space="preserve">                                       Дисциплины 295 (ОРТОП)</t>
  </si>
  <si>
    <t xml:space="preserve">               4 КУРС</t>
  </si>
  <si>
    <t>Экзамен</t>
  </si>
  <si>
    <t xml:space="preserve">                                       Дисциплины 285 (ОРТОП)</t>
  </si>
  <si>
    <t xml:space="preserve">                                            Кафедра № 12</t>
  </si>
  <si>
    <t>Дисциплины кафедры № 12</t>
  </si>
  <si>
    <t>Электротехника и электроника</t>
  </si>
  <si>
    <t>Радиотехническое оборудование аэродромов</t>
  </si>
  <si>
    <t xml:space="preserve">Экзамен </t>
  </si>
  <si>
    <t>Теория радиотехнических цепей и сигналов</t>
  </si>
  <si>
    <t>Системы связи на транспорте</t>
  </si>
  <si>
    <t>Факультатив</t>
  </si>
  <si>
    <t>Авиационная электросвязь</t>
  </si>
  <si>
    <t xml:space="preserve">                                       Дисциплины 293, 294 (ОрАД)</t>
  </si>
  <si>
    <t>Схемотехника и микропроцессорные устройства в радиоэлектронных системах</t>
  </si>
  <si>
    <t>Общая теория радиоэлектронных систем</t>
  </si>
  <si>
    <t>КР</t>
  </si>
  <si>
    <t>Теоретические основы радионавигации и радиолокации</t>
  </si>
  <si>
    <t>Измерения в радиоэлектронике</t>
  </si>
  <si>
    <t>Радиотехнические средства навигации и посадки</t>
  </si>
  <si>
    <t>Радиоэлектронные средства наблюдения</t>
  </si>
  <si>
    <t>Средства авиационной электросвязи и передачи данных</t>
  </si>
  <si>
    <t>Системы отображения информации</t>
  </si>
  <si>
    <t xml:space="preserve">                                       Дисциплины 386 (ООТБ)</t>
  </si>
  <si>
    <t xml:space="preserve">               5 КУРС</t>
  </si>
  <si>
    <t>Автоматизация технологических процессов в системе воздушного транспорта</t>
  </si>
  <si>
    <t>Организация радиотехнического обеспечения полетов и авиационной электросвязи</t>
  </si>
  <si>
    <t>Организация технической эксплуатации средств радиотехнического обеспечения полетов и связи</t>
  </si>
  <si>
    <t>Электроснабжение средств радиотехнического обеспечения полетов и связи</t>
  </si>
  <si>
    <t xml:space="preserve">                                       Дисциплины 275 (ОРТОП)</t>
  </si>
  <si>
    <t>Дисциплины 103-104 (ЛЭГВС)</t>
  </si>
  <si>
    <t>Радиооборудование однодвигательного учебного самолета тип 2</t>
  </si>
  <si>
    <t>На посл.занятии</t>
  </si>
  <si>
    <t>Дисциплины 100,101  (ОЛР)</t>
  </si>
  <si>
    <t>Радиотелеграфная азбука</t>
  </si>
  <si>
    <t>факультатив</t>
  </si>
  <si>
    <t>Дисциплины  102  (ОЛР)</t>
  </si>
  <si>
    <t>Перенос с 5 семестра</t>
  </si>
  <si>
    <t>Дисциплины  182 (ОЛР)</t>
  </si>
  <si>
    <t>Радиооборудование двух двигательного учебного самолета тип 1</t>
  </si>
  <si>
    <t>дисциплина 7 семестра</t>
  </si>
  <si>
    <t>на последнем занятии</t>
  </si>
  <si>
    <t>Дисциплины  198,199  (ОрАНО)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</si>
</sst>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i/>
      <sz val="14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27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0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vertical="center" wrapText="1"/>
    </xf>
    <xf numFmtId="0" fontId="3" fillId="4" borderId="31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52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53" xfId="0" applyFont="1" applyFill="1" applyBorder="1" applyAlignment="1">
      <alignment vertical="center" wrapText="1"/>
    </xf>
    <xf numFmtId="0" fontId="3" fillId="4" borderId="54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55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4" borderId="56" xfId="0" applyFont="1" applyFill="1" applyBorder="1" applyAlignment="1">
      <alignment vertical="center" wrapText="1"/>
    </xf>
    <xf numFmtId="0" fontId="3" fillId="4" borderId="18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3" fillId="4" borderId="57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vertical="center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4" xfId="0" applyFont="1" applyFill="1" applyBorder="1" applyAlignment="1">
      <alignment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0" fontId="3" fillId="4" borderId="4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49" fontId="3" fillId="0" borderId="16" xfId="0" applyNumberFormat="1" applyFont="1" applyFill="1" applyBorder="1" applyAlignment="1" applyProtection="1">
      <alignment horizontal="left" vertical="center" wrapText="1"/>
    </xf>
    <xf numFmtId="0" fontId="3" fillId="4" borderId="54" xfId="0" applyFont="1" applyFill="1" applyBorder="1" applyAlignment="1">
      <alignment horizontal="center" vertical="center" wrapText="1"/>
    </xf>
    <xf numFmtId="0" fontId="3" fillId="4" borderId="58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vertical="center" wrapText="1"/>
    </xf>
    <xf numFmtId="0" fontId="3" fillId="5" borderId="12" xfId="0" applyFont="1" applyFill="1" applyBorder="1" applyAlignment="1">
      <alignment horizontal="center" vertical="center" wrapText="1"/>
    </xf>
    <xf numFmtId="1" fontId="6" fillId="0" borderId="30" xfId="0" applyNumberFormat="1" applyFont="1" applyFill="1" applyBorder="1" applyAlignment="1" applyProtection="1">
      <alignment horizontal="center" vertical="center" wrapText="1" shrinkToFit="1"/>
    </xf>
    <xf numFmtId="49" fontId="7" fillId="0" borderId="32" xfId="0" applyNumberFormat="1" applyFont="1" applyFill="1" applyBorder="1" applyAlignment="1" applyProtection="1">
      <alignment horizontal="left" vertical="top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4" borderId="6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62" xfId="0" applyFont="1" applyFill="1" applyBorder="1" applyAlignment="1">
      <alignment horizontal="center" vertical="center" wrapText="1"/>
    </xf>
    <xf numFmtId="0" fontId="5" fillId="3" borderId="46" xfId="0" applyFont="1" applyFill="1" applyBorder="1" applyAlignment="1">
      <alignment horizontal="center" vertical="center" wrapText="1"/>
    </xf>
    <xf numFmtId="49" fontId="4" fillId="3" borderId="16" xfId="0" applyNumberFormat="1" applyFont="1" applyFill="1" applyBorder="1" applyAlignment="1" applyProtection="1">
      <alignment horizontal="left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34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wrapText="1"/>
    </xf>
    <xf numFmtId="0" fontId="3" fillId="3" borderId="64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wrapText="1"/>
    </xf>
    <xf numFmtId="0" fontId="3" fillId="3" borderId="56" xfId="0" applyFont="1" applyFill="1" applyBorder="1" applyAlignment="1">
      <alignment horizontal="center" vertical="center" wrapText="1"/>
    </xf>
    <xf numFmtId="49" fontId="4" fillId="3" borderId="10" xfId="0" applyNumberFormat="1" applyFont="1" applyFill="1" applyBorder="1" applyAlignment="1" applyProtection="1">
      <alignment horizontal="left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5" fillId="0" borderId="66" xfId="0" applyFont="1" applyFill="1" applyBorder="1" applyAlignment="1">
      <alignment horizontal="center" vertical="center" wrapText="1"/>
    </xf>
    <xf numFmtId="49" fontId="12" fillId="0" borderId="16" xfId="0" applyNumberFormat="1" applyFont="1" applyFill="1" applyBorder="1" applyAlignment="1" applyProtection="1">
      <alignment horizontal="left" vertical="center" wrapText="1"/>
    </xf>
    <xf numFmtId="0" fontId="3" fillId="0" borderId="51" xfId="0" applyFont="1" applyFill="1" applyBorder="1" applyAlignment="1">
      <alignment horizontal="center" vertical="center" wrapText="1"/>
    </xf>
    <xf numFmtId="0" fontId="3" fillId="0" borderId="53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60" xfId="0" applyFont="1" applyFill="1" applyBorder="1" applyAlignment="1">
      <alignment horizontal="center" vertical="center" wrapText="1"/>
    </xf>
    <xf numFmtId="0" fontId="2" fillId="0" borderId="51" xfId="0" applyFont="1" applyBorder="1" applyAlignment="1">
      <alignment horizont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wrapText="1"/>
    </xf>
    <xf numFmtId="0" fontId="2" fillId="0" borderId="2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9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60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63" xfId="0" applyFont="1" applyFill="1" applyBorder="1" applyAlignment="1">
      <alignment horizontal="center" wrapText="1"/>
    </xf>
  </cellXfs>
  <cellStyles count="2">
    <cellStyle name="Обычный" xfId="0" builtinId="0"/>
    <cellStyle name="Обычный 3" xfId="1"/>
  </cellStyles>
  <dxfs count="117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N110"/>
  <sheetViews>
    <sheetView tabSelected="1" topLeftCell="A39" zoomScale="70" zoomScaleNormal="70" workbookViewId="0">
      <selection activeCell="A51" sqref="A51:AE51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1" ht="18.75" customHeight="1">
      <c r="A1" s="188" t="s">
        <v>16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  <c r="AC1" s="188"/>
      <c r="AD1" s="188"/>
      <c r="AE1" s="93"/>
    </row>
    <row r="2" spans="1:41">
      <c r="A2" s="189" t="s">
        <v>17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</row>
    <row r="3" spans="1:41" ht="18.75" customHeight="1">
      <c r="A3" s="214"/>
      <c r="B3" s="214"/>
      <c r="C3" s="214"/>
      <c r="H3" s="190" t="s">
        <v>28</v>
      </c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</row>
    <row r="4" spans="1:41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1" ht="20.100000000000001" customHeight="1" thickBot="1">
      <c r="A5" s="196" t="s">
        <v>1</v>
      </c>
      <c r="B5" s="199" t="s">
        <v>0</v>
      </c>
      <c r="C5" s="191" t="s">
        <v>4</v>
      </c>
      <c r="D5" s="192"/>
      <c r="E5" s="192"/>
      <c r="F5" s="192"/>
      <c r="G5" s="215" t="s">
        <v>9</v>
      </c>
      <c r="H5" s="213"/>
      <c r="I5" s="205" t="s">
        <v>10</v>
      </c>
      <c r="J5" s="206"/>
      <c r="K5" s="206"/>
      <c r="L5" s="207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205" t="s">
        <v>13</v>
      </c>
      <c r="V5" s="213"/>
      <c r="W5" s="206"/>
      <c r="X5" s="206"/>
      <c r="Y5" s="54"/>
      <c r="Z5" s="205" t="s">
        <v>14</v>
      </c>
      <c r="AA5" s="206"/>
      <c r="AB5" s="206"/>
      <c r="AC5" s="206"/>
      <c r="AD5" s="61"/>
      <c r="AE5" s="199" t="s">
        <v>5</v>
      </c>
    </row>
    <row r="6" spans="1:41" ht="20.100000000000001" customHeight="1" thickBot="1">
      <c r="A6" s="197"/>
      <c r="B6" s="200"/>
      <c r="C6" s="193"/>
      <c r="D6" s="194"/>
      <c r="E6" s="194"/>
      <c r="F6" s="195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200"/>
    </row>
    <row r="7" spans="1:41" ht="20.100000000000001" customHeight="1" thickBot="1">
      <c r="A7" s="197"/>
      <c r="B7" s="200"/>
      <c r="C7" s="202" t="s">
        <v>2</v>
      </c>
      <c r="D7" s="210" t="s">
        <v>3</v>
      </c>
      <c r="E7" s="211"/>
      <c r="F7" s="212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200"/>
    </row>
    <row r="8" spans="1:41" ht="20.100000000000001" customHeight="1">
      <c r="A8" s="197"/>
      <c r="B8" s="200"/>
      <c r="C8" s="203"/>
      <c r="D8" s="208" t="s">
        <v>6</v>
      </c>
      <c r="E8" s="203" t="s">
        <v>7</v>
      </c>
      <c r="F8" s="203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200"/>
    </row>
    <row r="9" spans="1:41" s="4" customFormat="1" ht="20.100000000000001" customHeight="1" thickBot="1">
      <c r="A9" s="197"/>
      <c r="B9" s="200"/>
      <c r="C9" s="203"/>
      <c r="D9" s="208"/>
      <c r="E9" s="203"/>
      <c r="F9" s="203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95"/>
    </row>
    <row r="10" spans="1:41" s="4" customFormat="1" ht="20.100000000000001" customHeight="1">
      <c r="A10" s="197"/>
      <c r="B10" s="200"/>
      <c r="C10" s="203"/>
      <c r="D10" s="208"/>
      <c r="E10" s="203"/>
      <c r="F10" s="203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200"/>
    </row>
    <row r="11" spans="1:41" s="4" customFormat="1" ht="20.100000000000001" customHeight="1" thickBot="1">
      <c r="A11" s="197"/>
      <c r="B11" s="200"/>
      <c r="C11" s="203"/>
      <c r="D11" s="208"/>
      <c r="E11" s="203"/>
      <c r="F11" s="203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200"/>
    </row>
    <row r="12" spans="1:41" s="4" customFormat="1" ht="20.100000000000001" customHeight="1" thickBot="1">
      <c r="A12" s="198"/>
      <c r="B12" s="201"/>
      <c r="C12" s="204"/>
      <c r="D12" s="209"/>
      <c r="E12" s="204"/>
      <c r="F12" s="204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201"/>
    </row>
    <row r="13" spans="1:41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217" t="s">
        <v>29</v>
      </c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</row>
    <row r="14" spans="1:41" s="4" customFormat="1" ht="50.25" customHeight="1" thickBot="1">
      <c r="A14" s="216" t="s">
        <v>19</v>
      </c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93"/>
      <c r="AG14" s="93"/>
      <c r="AH14" s="93"/>
      <c r="AI14" s="93"/>
      <c r="AJ14" s="93"/>
      <c r="AK14" s="93"/>
      <c r="AL14" s="93"/>
      <c r="AM14" s="93"/>
      <c r="AN14" s="93"/>
      <c r="AO14" s="93"/>
    </row>
    <row r="15" spans="1:41" s="4" customFormat="1" ht="30" customHeight="1" thickBot="1">
      <c r="A15" s="224" t="s">
        <v>60</v>
      </c>
      <c r="B15" s="224"/>
      <c r="C15" s="224"/>
      <c r="D15" s="224"/>
      <c r="E15" s="224"/>
      <c r="F15" s="224"/>
      <c r="G15" s="224"/>
      <c r="H15" s="224"/>
      <c r="I15" s="224"/>
      <c r="J15" s="224"/>
      <c r="K15" s="219"/>
      <c r="L15" s="219"/>
      <c r="M15" s="219"/>
      <c r="N15" s="219"/>
      <c r="O15" s="219"/>
      <c r="P15" s="219"/>
      <c r="Q15" s="224"/>
      <c r="R15" s="224"/>
      <c r="S15" s="219"/>
      <c r="T15" s="219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</row>
    <row r="16" spans="1:41" s="4" customFormat="1" ht="37.5">
      <c r="A16" s="62">
        <v>12</v>
      </c>
      <c r="B16" s="63" t="s">
        <v>58</v>
      </c>
      <c r="C16" s="64">
        <f t="shared" ref="C16" si="0">SUM(D16:F18)</f>
        <v>22</v>
      </c>
      <c r="D16" s="65">
        <f t="shared" ref="D16" si="1">SUM(G16:AD16)</f>
        <v>6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/>
      <c r="N16" s="65"/>
      <c r="O16" s="65"/>
      <c r="P16" s="65"/>
      <c r="Q16" s="64"/>
      <c r="R16" s="156"/>
      <c r="S16" s="225"/>
      <c r="T16" s="226"/>
      <c r="U16" s="64"/>
      <c r="V16" s="65"/>
      <c r="W16" s="65"/>
      <c r="X16" s="65"/>
      <c r="Y16" s="65"/>
      <c r="Z16" s="65"/>
      <c r="AA16" s="65"/>
      <c r="AB16" s="65"/>
      <c r="AC16" s="65"/>
      <c r="AD16" s="65"/>
      <c r="AE16" s="66" t="s">
        <v>15</v>
      </c>
    </row>
    <row r="17" spans="1:44" s="4" customFormat="1" ht="19.5">
      <c r="A17" s="69"/>
      <c r="B17" s="166" t="s">
        <v>59</v>
      </c>
      <c r="C17" s="71"/>
      <c r="D17" s="72"/>
      <c r="E17" s="72">
        <f t="shared" ref="E17" si="2">SUM(G17:AD17)</f>
        <v>16</v>
      </c>
      <c r="F17" s="73"/>
      <c r="G17" s="71"/>
      <c r="H17" s="72">
        <v>2</v>
      </c>
      <c r="I17" s="72"/>
      <c r="J17" s="71">
        <v>4</v>
      </c>
      <c r="K17" s="74"/>
      <c r="L17" s="75">
        <v>2</v>
      </c>
      <c r="M17" s="75"/>
      <c r="N17" s="75">
        <v>4</v>
      </c>
      <c r="O17" s="75"/>
      <c r="P17" s="75">
        <v>2</v>
      </c>
      <c r="Q17" s="71"/>
      <c r="R17" s="90">
        <v>2</v>
      </c>
      <c r="S17" s="218"/>
      <c r="T17" s="220"/>
      <c r="U17" s="71"/>
      <c r="V17" s="72"/>
      <c r="W17" s="72"/>
      <c r="X17" s="72"/>
      <c r="Y17" s="72"/>
      <c r="Z17" s="72"/>
      <c r="AA17" s="72"/>
      <c r="AB17" s="72"/>
      <c r="AC17" s="72"/>
      <c r="AD17" s="72"/>
      <c r="AE17" s="76"/>
    </row>
    <row r="18" spans="1:44" s="4" customFormat="1" ht="21.75" customHeight="1" thickBot="1">
      <c r="A18" s="77"/>
      <c r="B18" s="78"/>
      <c r="C18" s="79"/>
      <c r="D18" s="80"/>
      <c r="E18" s="80"/>
      <c r="F18" s="81">
        <f t="shared" ref="F18" si="3">SUM(G18:AD18)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79"/>
      <c r="R18" s="160"/>
      <c r="S18" s="221"/>
      <c r="T18" s="223"/>
      <c r="U18" s="79"/>
      <c r="V18" s="80"/>
      <c r="W18" s="80"/>
      <c r="X18" s="80"/>
      <c r="Y18" s="80"/>
      <c r="Z18" s="80"/>
      <c r="AA18" s="80"/>
      <c r="AB18" s="80"/>
      <c r="AC18" s="80"/>
      <c r="AD18" s="80"/>
      <c r="AE18" s="81">
        <v>9</v>
      </c>
      <c r="AM18" s="11"/>
      <c r="AN18" s="11"/>
      <c r="AO18" s="11"/>
      <c r="AP18" s="11"/>
      <c r="AQ18" s="11"/>
      <c r="AR18" s="11"/>
    </row>
    <row r="19" spans="1:44" s="4" customFormat="1" ht="27.75" customHeight="1" thickBot="1">
      <c r="A19" s="224" t="s">
        <v>57</v>
      </c>
      <c r="B19" s="224"/>
      <c r="C19" s="224"/>
      <c r="D19" s="224"/>
      <c r="E19" s="224"/>
      <c r="F19" s="224"/>
      <c r="G19" s="224"/>
      <c r="H19" s="224"/>
      <c r="I19" s="224"/>
      <c r="J19" s="224"/>
      <c r="K19" s="219"/>
      <c r="L19" s="219"/>
      <c r="M19" s="219"/>
      <c r="N19" s="219"/>
      <c r="O19" s="219"/>
      <c r="P19" s="219"/>
      <c r="Q19" s="224"/>
      <c r="R19" s="224"/>
      <c r="S19" s="219"/>
      <c r="T19" s="219"/>
      <c r="U19" s="224"/>
      <c r="V19" s="224"/>
      <c r="W19" s="224"/>
      <c r="X19" s="224"/>
      <c r="Y19" s="224"/>
      <c r="Z19" s="224"/>
      <c r="AA19" s="224"/>
      <c r="AB19" s="224"/>
      <c r="AC19" s="224"/>
      <c r="AD19" s="219"/>
      <c r="AE19" s="224"/>
    </row>
    <row r="20" spans="1:44" s="4" customFormat="1" ht="37.5">
      <c r="A20" s="62">
        <v>12</v>
      </c>
      <c r="B20" s="63" t="s">
        <v>58</v>
      </c>
      <c r="C20" s="64">
        <f t="shared" ref="C20" si="4">SUM(D20:F22)</f>
        <v>22</v>
      </c>
      <c r="D20" s="65">
        <f t="shared" ref="D20" si="5">SUM(G20:AD20)</f>
        <v>6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/>
      <c r="N20" s="65"/>
      <c r="O20" s="65"/>
      <c r="P20" s="65"/>
      <c r="Q20" s="64"/>
      <c r="R20" s="156"/>
      <c r="S20" s="225"/>
      <c r="T20" s="226"/>
      <c r="U20" s="64"/>
      <c r="V20" s="65"/>
      <c r="W20" s="65"/>
      <c r="X20" s="65"/>
      <c r="Y20" s="65"/>
      <c r="Z20" s="65"/>
      <c r="AA20" s="65"/>
      <c r="AB20" s="65"/>
      <c r="AC20" s="66"/>
      <c r="AD20" s="162"/>
      <c r="AE20" s="157" t="s">
        <v>15</v>
      </c>
    </row>
    <row r="21" spans="1:44" s="4" customFormat="1" ht="19.5">
      <c r="A21" s="69"/>
      <c r="B21" s="70"/>
      <c r="C21" s="71"/>
      <c r="D21" s="72"/>
      <c r="E21" s="72">
        <f t="shared" ref="E21" si="6">SUM(G21:AD21)</f>
        <v>16</v>
      </c>
      <c r="F21" s="73"/>
      <c r="G21" s="71"/>
      <c r="H21" s="72">
        <v>2</v>
      </c>
      <c r="I21" s="72"/>
      <c r="J21" s="71">
        <v>4</v>
      </c>
      <c r="K21" s="74"/>
      <c r="L21" s="75">
        <v>2</v>
      </c>
      <c r="M21" s="75"/>
      <c r="N21" s="75">
        <v>4</v>
      </c>
      <c r="O21" s="75"/>
      <c r="P21" s="75">
        <v>2</v>
      </c>
      <c r="Q21" s="71"/>
      <c r="R21" s="90">
        <v>2</v>
      </c>
      <c r="S21" s="218"/>
      <c r="T21" s="220"/>
      <c r="U21" s="71"/>
      <c r="V21" s="72"/>
      <c r="W21" s="72"/>
      <c r="X21" s="72"/>
      <c r="Y21" s="72"/>
      <c r="Z21" s="72"/>
      <c r="AA21" s="72"/>
      <c r="AB21" s="72"/>
      <c r="AC21" s="73"/>
      <c r="AD21" s="102"/>
      <c r="AE21" s="158"/>
    </row>
    <row r="22" spans="1:44" s="4" customFormat="1" ht="21.75" customHeight="1" thickBot="1">
      <c r="A22" s="77"/>
      <c r="B22" s="159" t="s">
        <v>59</v>
      </c>
      <c r="C22" s="79"/>
      <c r="D22" s="80"/>
      <c r="E22" s="80"/>
      <c r="F22" s="81">
        <f t="shared" ref="F22" si="7">SUM(G22:AD22)</f>
        <v>0</v>
      </c>
      <c r="G22" s="79"/>
      <c r="H22" s="80"/>
      <c r="I22" s="80"/>
      <c r="J22" s="79"/>
      <c r="K22" s="79"/>
      <c r="L22" s="80"/>
      <c r="M22" s="80"/>
      <c r="N22" s="80"/>
      <c r="O22" s="80"/>
      <c r="P22" s="80"/>
      <c r="Q22" s="79"/>
      <c r="R22" s="160"/>
      <c r="S22" s="218"/>
      <c r="T22" s="220"/>
      <c r="U22" s="79"/>
      <c r="V22" s="80"/>
      <c r="W22" s="80"/>
      <c r="X22" s="80"/>
      <c r="Y22" s="80"/>
      <c r="Z22" s="80"/>
      <c r="AA22" s="80"/>
      <c r="AB22" s="80"/>
      <c r="AC22" s="81"/>
      <c r="AD22" s="102"/>
      <c r="AE22" s="161">
        <v>9</v>
      </c>
      <c r="AM22" s="11"/>
      <c r="AN22" s="11"/>
      <c r="AO22" s="11"/>
      <c r="AP22" s="11"/>
      <c r="AQ22" s="11"/>
      <c r="AR22" s="11"/>
    </row>
    <row r="23" spans="1:44" s="4" customFormat="1" ht="56.25">
      <c r="A23" s="82">
        <v>12</v>
      </c>
      <c r="B23" s="83" t="s">
        <v>31</v>
      </c>
      <c r="C23" s="64">
        <f t="shared" ref="C23" si="8">SUM(D23:F25)</f>
        <v>56</v>
      </c>
      <c r="D23" s="65">
        <f>SUM(U23:AC23)</f>
        <v>28</v>
      </c>
      <c r="E23" s="65"/>
      <c r="F23" s="66"/>
      <c r="G23" s="67"/>
      <c r="H23" s="68"/>
      <c r="I23" s="68"/>
      <c r="J23" s="67"/>
      <c r="K23" s="64"/>
      <c r="L23" s="65"/>
      <c r="M23" s="65"/>
      <c r="N23" s="65"/>
      <c r="O23" s="65"/>
      <c r="P23" s="65"/>
      <c r="Q23" s="64"/>
      <c r="R23" s="156"/>
      <c r="S23" s="218"/>
      <c r="T23" s="220"/>
      <c r="U23" s="64">
        <v>4</v>
      </c>
      <c r="V23" s="65">
        <v>2</v>
      </c>
      <c r="W23" s="65">
        <v>4</v>
      </c>
      <c r="X23" s="65">
        <v>2</v>
      </c>
      <c r="Y23" s="65">
        <v>4</v>
      </c>
      <c r="Z23" s="65">
        <v>2</v>
      </c>
      <c r="AA23" s="65">
        <v>4</v>
      </c>
      <c r="AB23" s="65">
        <v>2</v>
      </c>
      <c r="AC23" s="66">
        <v>4</v>
      </c>
      <c r="AD23" s="155"/>
      <c r="AE23" s="157" t="s">
        <v>26</v>
      </c>
      <c r="AM23" s="11"/>
      <c r="AN23" s="11"/>
      <c r="AO23" s="11"/>
      <c r="AP23" s="11"/>
      <c r="AQ23" s="11"/>
      <c r="AR23" s="11"/>
    </row>
    <row r="24" spans="1:44" s="4" customFormat="1">
      <c r="A24" s="84"/>
      <c r="B24" s="85"/>
      <c r="C24" s="71"/>
      <c r="D24" s="72"/>
      <c r="E24" s="72">
        <f>SUM(U24:AC24)</f>
        <v>28</v>
      </c>
      <c r="F24" s="73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163"/>
      <c r="S24" s="218"/>
      <c r="T24" s="220"/>
      <c r="U24" s="71">
        <v>2</v>
      </c>
      <c r="V24" s="72">
        <v>4</v>
      </c>
      <c r="W24" s="72">
        <v>2</v>
      </c>
      <c r="X24" s="72">
        <v>4</v>
      </c>
      <c r="Y24" s="72">
        <v>2</v>
      </c>
      <c r="Z24" s="72">
        <v>4</v>
      </c>
      <c r="AA24" s="72">
        <v>2</v>
      </c>
      <c r="AB24" s="72">
        <v>4</v>
      </c>
      <c r="AC24" s="73">
        <v>4</v>
      </c>
      <c r="AD24" s="155"/>
      <c r="AE24" s="158"/>
      <c r="AM24" s="12"/>
      <c r="AN24" s="96"/>
      <c r="AO24" s="186"/>
      <c r="AP24" s="186"/>
      <c r="AQ24" s="11"/>
      <c r="AR24" s="11"/>
    </row>
    <row r="25" spans="1:44" s="4" customFormat="1" ht="20.25" thickBot="1">
      <c r="A25" s="88"/>
      <c r="B25" s="164" t="s">
        <v>61</v>
      </c>
      <c r="C25" s="79"/>
      <c r="D25" s="80"/>
      <c r="E25" s="80"/>
      <c r="F25" s="81">
        <f>SUM(U25:AC25)</f>
        <v>0</v>
      </c>
      <c r="G25" s="86"/>
      <c r="H25" s="87"/>
      <c r="I25" s="86"/>
      <c r="J25" s="87"/>
      <c r="K25" s="86"/>
      <c r="L25" s="87"/>
      <c r="M25" s="87"/>
      <c r="N25" s="87"/>
      <c r="O25" s="87"/>
      <c r="P25" s="87"/>
      <c r="Q25" s="86"/>
      <c r="R25" s="165"/>
      <c r="S25" s="221"/>
      <c r="T25" s="223"/>
      <c r="U25" s="86"/>
      <c r="V25" s="87"/>
      <c r="W25" s="87"/>
      <c r="X25" s="87"/>
      <c r="Y25" s="87"/>
      <c r="Z25" s="87"/>
      <c r="AA25" s="87"/>
      <c r="AB25" s="87"/>
      <c r="AC25" s="92"/>
      <c r="AD25" s="155"/>
      <c r="AE25" s="161">
        <v>27</v>
      </c>
      <c r="AM25" s="12"/>
      <c r="AN25" s="96"/>
      <c r="AO25" s="186"/>
      <c r="AP25" s="186"/>
      <c r="AQ25" s="11"/>
      <c r="AR25" s="11"/>
    </row>
    <row r="26" spans="1:44" s="4" customFormat="1" ht="29.25" customHeight="1" thickBot="1">
      <c r="A26" s="183" t="s">
        <v>54</v>
      </c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5"/>
    </row>
    <row r="27" spans="1:44" s="4" customFormat="1" ht="56.25">
      <c r="A27" s="150">
        <v>12</v>
      </c>
      <c r="B27" s="151" t="s">
        <v>31</v>
      </c>
      <c r="C27" s="152">
        <f>SUM(D27:F28)</f>
        <v>60</v>
      </c>
      <c r="D27" s="153">
        <f>SUM(G27:L27)</f>
        <v>24</v>
      </c>
      <c r="E27" s="153"/>
      <c r="F27" s="101"/>
      <c r="G27" s="105">
        <v>4</v>
      </c>
      <c r="H27" s="106">
        <v>4</v>
      </c>
      <c r="I27" s="106">
        <v>4</v>
      </c>
      <c r="J27" s="107">
        <v>4</v>
      </c>
      <c r="K27" s="108">
        <v>4</v>
      </c>
      <c r="L27" s="154">
        <v>4</v>
      </c>
      <c r="M27" s="218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20"/>
      <c r="Z27" s="152"/>
      <c r="AA27" s="153"/>
      <c r="AB27" s="153"/>
      <c r="AC27" s="153"/>
      <c r="AD27" s="148"/>
      <c r="AE27" s="101" t="s">
        <v>32</v>
      </c>
      <c r="AM27" s="11"/>
      <c r="AN27" s="11"/>
      <c r="AO27" s="11"/>
      <c r="AP27" s="11"/>
      <c r="AQ27" s="11"/>
      <c r="AR27" s="11"/>
    </row>
    <row r="28" spans="1:44" s="4" customFormat="1" ht="18.75" customHeight="1">
      <c r="A28" s="111"/>
      <c r="B28" s="112"/>
      <c r="C28" s="113"/>
      <c r="D28" s="114"/>
      <c r="E28" s="114">
        <f>SUM(G28:L28)</f>
        <v>36</v>
      </c>
      <c r="F28" s="115"/>
      <c r="G28" s="116">
        <v>6</v>
      </c>
      <c r="H28" s="117">
        <v>6</v>
      </c>
      <c r="I28" s="117">
        <v>6</v>
      </c>
      <c r="J28" s="118">
        <v>6</v>
      </c>
      <c r="K28" s="119">
        <v>6</v>
      </c>
      <c r="L28" s="120">
        <v>6</v>
      </c>
      <c r="M28" s="218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20"/>
      <c r="Z28" s="113"/>
      <c r="AA28" s="114"/>
      <c r="AB28" s="114"/>
      <c r="AC28" s="114"/>
      <c r="AD28" s="121"/>
      <c r="AE28" s="122"/>
      <c r="AM28" s="12"/>
      <c r="AN28" s="96"/>
      <c r="AO28" s="186"/>
      <c r="AP28" s="186"/>
      <c r="AQ28" s="11"/>
      <c r="AR28" s="11"/>
    </row>
    <row r="29" spans="1:44" s="4" customFormat="1" ht="19.5" customHeight="1" thickBot="1">
      <c r="A29" s="123"/>
      <c r="B29" s="124"/>
      <c r="C29" s="125"/>
      <c r="D29" s="126"/>
      <c r="E29" s="126"/>
      <c r="F29" s="99">
        <f>SUM(G29:L29)</f>
        <v>0</v>
      </c>
      <c r="G29" s="127"/>
      <c r="H29" s="128"/>
      <c r="I29" s="128"/>
      <c r="J29" s="129"/>
      <c r="K29" s="130"/>
      <c r="L29" s="131"/>
      <c r="M29" s="218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20"/>
      <c r="Z29" s="132"/>
      <c r="AA29" s="133"/>
      <c r="AB29" s="133"/>
      <c r="AC29" s="133"/>
      <c r="AD29" s="134"/>
      <c r="AE29" s="99">
        <v>27</v>
      </c>
      <c r="AM29" s="12"/>
      <c r="AN29" s="96"/>
      <c r="AO29" s="186"/>
      <c r="AP29" s="186"/>
      <c r="AQ29" s="11"/>
      <c r="AR29" s="11"/>
    </row>
    <row r="30" spans="1:44" s="4" customFormat="1" ht="56.25">
      <c r="A30" s="135">
        <v>12</v>
      </c>
      <c r="B30" s="136" t="s">
        <v>55</v>
      </c>
      <c r="C30" s="103">
        <f>SUM(D30:F31)</f>
        <v>12</v>
      </c>
      <c r="D30" s="104">
        <f>SUM(G30:L30)</f>
        <v>6</v>
      </c>
      <c r="E30" s="104"/>
      <c r="F30" s="97"/>
      <c r="G30" s="105">
        <v>2</v>
      </c>
      <c r="H30" s="106"/>
      <c r="I30" s="106">
        <v>2</v>
      </c>
      <c r="J30" s="107"/>
      <c r="K30" s="108">
        <v>2</v>
      </c>
      <c r="L30" s="109"/>
      <c r="M30" s="218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20"/>
      <c r="Z30" s="103"/>
      <c r="AA30" s="104"/>
      <c r="AB30" s="104"/>
      <c r="AC30" s="104"/>
      <c r="AD30" s="110"/>
      <c r="AE30" s="97" t="s">
        <v>18</v>
      </c>
      <c r="AL30" s="137"/>
    </row>
    <row r="31" spans="1:44" s="4" customFormat="1" ht="19.5" customHeight="1">
      <c r="A31" s="138"/>
      <c r="B31" s="139"/>
      <c r="C31" s="113"/>
      <c r="D31" s="114"/>
      <c r="E31" s="114">
        <f>SUM(G31:L31)</f>
        <v>6</v>
      </c>
      <c r="F31" s="115"/>
      <c r="G31" s="140"/>
      <c r="H31" s="141">
        <v>2</v>
      </c>
      <c r="I31" s="141"/>
      <c r="J31" s="142">
        <v>2</v>
      </c>
      <c r="K31" s="119"/>
      <c r="L31" s="120">
        <v>2</v>
      </c>
      <c r="M31" s="218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20"/>
      <c r="Z31" s="113"/>
      <c r="AA31" s="114"/>
      <c r="AB31" s="114"/>
      <c r="AC31" s="114"/>
      <c r="AD31" s="143"/>
      <c r="AE31" s="122"/>
    </row>
    <row r="32" spans="1:44" s="4" customFormat="1" ht="21.75" customHeight="1" thickBot="1">
      <c r="A32" s="144"/>
      <c r="B32" s="145"/>
      <c r="C32" s="125"/>
      <c r="D32" s="126"/>
      <c r="E32" s="126"/>
      <c r="F32" s="99">
        <f>SUM(G32:L32)</f>
        <v>0</v>
      </c>
      <c r="G32" s="127"/>
      <c r="H32" s="128"/>
      <c r="I32" s="128"/>
      <c r="J32" s="129"/>
      <c r="K32" s="146"/>
      <c r="L32" s="147"/>
      <c r="M32" s="221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3"/>
      <c r="Z32" s="125"/>
      <c r="AA32" s="126"/>
      <c r="AB32" s="126"/>
      <c r="AC32" s="126"/>
      <c r="AD32" s="148"/>
      <c r="AE32" s="149" t="s">
        <v>56</v>
      </c>
      <c r="AM32" s="11"/>
      <c r="AN32" s="11"/>
      <c r="AO32" s="11"/>
      <c r="AP32" s="11"/>
      <c r="AQ32" s="11"/>
      <c r="AR32" s="11"/>
    </row>
    <row r="33" spans="1:66" s="4" customFormat="1" ht="19.5" thickBot="1">
      <c r="A33" s="183" t="s">
        <v>23</v>
      </c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5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</row>
    <row r="34" spans="1:66" s="4" customFormat="1" ht="37.5">
      <c r="A34" s="62">
        <v>12</v>
      </c>
      <c r="B34" s="63" t="s">
        <v>30</v>
      </c>
      <c r="C34" s="64">
        <f>SUM(D34:F36)</f>
        <v>90</v>
      </c>
      <c r="D34" s="65">
        <f>SUM(G34:X34)</f>
        <v>36</v>
      </c>
      <c r="E34" s="65"/>
      <c r="F34" s="66"/>
      <c r="G34" s="67">
        <v>2</v>
      </c>
      <c r="H34" s="67">
        <v>2</v>
      </c>
      <c r="I34" s="67">
        <v>2</v>
      </c>
      <c r="J34" s="67">
        <v>2</v>
      </c>
      <c r="K34" s="67">
        <v>2</v>
      </c>
      <c r="L34" s="67">
        <v>2</v>
      </c>
      <c r="M34" s="67">
        <v>2</v>
      </c>
      <c r="N34" s="67">
        <v>2</v>
      </c>
      <c r="O34" s="67">
        <v>2</v>
      </c>
      <c r="P34" s="67">
        <v>2</v>
      </c>
      <c r="Q34" s="67">
        <v>2</v>
      </c>
      <c r="R34" s="67">
        <v>2</v>
      </c>
      <c r="S34" s="67">
        <v>2</v>
      </c>
      <c r="T34" s="67">
        <v>2</v>
      </c>
      <c r="U34" s="67">
        <v>2</v>
      </c>
      <c r="V34" s="67">
        <v>2</v>
      </c>
      <c r="W34" s="67">
        <v>2</v>
      </c>
      <c r="X34" s="66">
        <v>2</v>
      </c>
      <c r="Y34" s="64"/>
      <c r="Z34" s="65"/>
      <c r="AA34" s="65"/>
      <c r="AB34" s="65"/>
      <c r="AC34" s="65"/>
      <c r="AD34" s="65"/>
      <c r="AE34" s="66" t="s">
        <v>18</v>
      </c>
    </row>
    <row r="35" spans="1:66" s="4" customFormat="1" ht="19.5">
      <c r="A35" s="69"/>
      <c r="B35" s="70"/>
      <c r="C35" s="71"/>
      <c r="D35" s="72"/>
      <c r="E35" s="72">
        <f>SUM(G35:X35)</f>
        <v>54</v>
      </c>
      <c r="F35" s="73"/>
      <c r="G35" s="71">
        <v>2</v>
      </c>
      <c r="H35" s="71">
        <v>4</v>
      </c>
      <c r="I35" s="71">
        <v>2</v>
      </c>
      <c r="J35" s="71">
        <v>4</v>
      </c>
      <c r="K35" s="71">
        <v>2</v>
      </c>
      <c r="L35" s="71">
        <v>4</v>
      </c>
      <c r="M35" s="71">
        <v>2</v>
      </c>
      <c r="N35" s="71">
        <v>4</v>
      </c>
      <c r="O35" s="71">
        <v>2</v>
      </c>
      <c r="P35" s="71">
        <v>4</v>
      </c>
      <c r="Q35" s="71">
        <v>2</v>
      </c>
      <c r="R35" s="71">
        <v>4</v>
      </c>
      <c r="S35" s="71">
        <v>2</v>
      </c>
      <c r="T35" s="71">
        <v>4</v>
      </c>
      <c r="U35" s="71">
        <v>2</v>
      </c>
      <c r="V35" s="71">
        <v>4</v>
      </c>
      <c r="W35" s="71">
        <v>2</v>
      </c>
      <c r="X35" s="90">
        <v>4</v>
      </c>
      <c r="Y35" s="91"/>
      <c r="Z35" s="72"/>
      <c r="AA35" s="72"/>
      <c r="AB35" s="72"/>
      <c r="AC35" s="72"/>
      <c r="AD35" s="72"/>
      <c r="AE35" s="76"/>
    </row>
    <row r="36" spans="1:66" s="4" customFormat="1" ht="21.75" customHeight="1" thickBot="1">
      <c r="A36" s="77"/>
      <c r="B36" s="78"/>
      <c r="C36" s="79"/>
      <c r="D36" s="80"/>
      <c r="E36" s="80"/>
      <c r="F36" s="81">
        <f>SUM(G36:X36)</f>
        <v>0</v>
      </c>
      <c r="G36" s="79"/>
      <c r="H36" s="80"/>
      <c r="I36" s="80"/>
      <c r="J36" s="79"/>
      <c r="K36" s="79"/>
      <c r="L36" s="80"/>
      <c r="M36" s="80"/>
      <c r="N36" s="80"/>
      <c r="O36" s="80"/>
      <c r="P36" s="80"/>
      <c r="Q36" s="79"/>
      <c r="R36" s="79"/>
      <c r="S36" s="80"/>
      <c r="T36" s="80"/>
      <c r="U36" s="80"/>
      <c r="V36" s="80"/>
      <c r="W36" s="80"/>
      <c r="X36" s="92"/>
      <c r="Y36" s="79"/>
      <c r="Z36" s="80"/>
      <c r="AA36" s="80"/>
      <c r="AB36" s="80"/>
      <c r="AC36" s="80"/>
      <c r="AD36" s="80"/>
      <c r="AE36" s="81">
        <v>9</v>
      </c>
      <c r="AM36" s="11"/>
      <c r="AN36" s="11"/>
      <c r="AO36" s="11"/>
      <c r="AP36" s="11"/>
      <c r="AQ36" s="11"/>
      <c r="AR36" s="11"/>
    </row>
    <row r="37" spans="1:66" s="4" customFormat="1" ht="56.25">
      <c r="A37" s="82">
        <v>12</v>
      </c>
      <c r="B37" s="83" t="s">
        <v>31</v>
      </c>
      <c r="C37" s="64">
        <f>SUM(D37:F39)</f>
        <v>54</v>
      </c>
      <c r="D37" s="65">
        <f>SUM(G37:X37)</f>
        <v>18</v>
      </c>
      <c r="E37" s="65"/>
      <c r="F37" s="66"/>
      <c r="G37" s="67">
        <v>2</v>
      </c>
      <c r="H37" s="68"/>
      <c r="I37" s="68">
        <v>2</v>
      </c>
      <c r="J37" s="67"/>
      <c r="K37" s="64">
        <v>2</v>
      </c>
      <c r="L37" s="65"/>
      <c r="M37" s="65">
        <v>2</v>
      </c>
      <c r="N37" s="65"/>
      <c r="O37" s="65">
        <v>2</v>
      </c>
      <c r="P37" s="65"/>
      <c r="Q37" s="64">
        <v>2</v>
      </c>
      <c r="R37" s="64"/>
      <c r="S37" s="65">
        <v>2</v>
      </c>
      <c r="T37" s="65"/>
      <c r="U37" s="65">
        <v>2</v>
      </c>
      <c r="V37" s="65"/>
      <c r="W37" s="65">
        <v>2</v>
      </c>
      <c r="X37" s="66"/>
      <c r="Y37" s="64"/>
      <c r="Z37" s="65"/>
      <c r="AA37" s="65"/>
      <c r="AB37" s="65"/>
      <c r="AC37" s="65"/>
      <c r="AD37" s="65"/>
      <c r="AE37" s="66" t="s">
        <v>32</v>
      </c>
      <c r="AM37" s="11"/>
      <c r="AN37" s="11"/>
      <c r="AO37" s="11"/>
      <c r="AP37" s="11"/>
      <c r="AQ37" s="11"/>
      <c r="AR37" s="11"/>
    </row>
    <row r="38" spans="1:66" s="4" customFormat="1">
      <c r="A38" s="84"/>
      <c r="B38" s="85"/>
      <c r="C38" s="71"/>
      <c r="D38" s="72"/>
      <c r="E38" s="72">
        <f>SUM(G38:X38)</f>
        <v>36</v>
      </c>
      <c r="F38" s="73"/>
      <c r="G38" s="71"/>
      <c r="H38" s="71">
        <v>4</v>
      </c>
      <c r="I38" s="71"/>
      <c r="J38" s="71">
        <v>4</v>
      </c>
      <c r="K38" s="71"/>
      <c r="L38" s="71">
        <v>4</v>
      </c>
      <c r="M38" s="71"/>
      <c r="N38" s="71">
        <v>4</v>
      </c>
      <c r="O38" s="71"/>
      <c r="P38" s="71">
        <v>4</v>
      </c>
      <c r="Q38" s="71"/>
      <c r="R38" s="71">
        <v>4</v>
      </c>
      <c r="S38" s="71"/>
      <c r="T38" s="71">
        <v>4</v>
      </c>
      <c r="U38" s="71"/>
      <c r="V38" s="71">
        <v>4</v>
      </c>
      <c r="W38" s="71"/>
      <c r="X38" s="90">
        <v>4</v>
      </c>
      <c r="Y38" s="91"/>
      <c r="Z38" s="72"/>
      <c r="AA38" s="72"/>
      <c r="AB38" s="72"/>
      <c r="AC38" s="72"/>
      <c r="AD38" s="72"/>
      <c r="AE38" s="76"/>
      <c r="AM38" s="12"/>
      <c r="AN38" s="96"/>
      <c r="AO38" s="186"/>
      <c r="AP38" s="186"/>
      <c r="AQ38" s="11"/>
      <c r="AR38" s="11"/>
    </row>
    <row r="39" spans="1:66" s="4" customFormat="1" ht="19.5" thickBot="1">
      <c r="A39" s="88"/>
      <c r="B39" s="89"/>
      <c r="C39" s="79"/>
      <c r="D39" s="80"/>
      <c r="E39" s="80"/>
      <c r="F39" s="81">
        <f>SUM(G39:X39)</f>
        <v>0</v>
      </c>
      <c r="G39" s="79"/>
      <c r="H39" s="80"/>
      <c r="I39" s="80"/>
      <c r="J39" s="79"/>
      <c r="K39" s="79"/>
      <c r="L39" s="80"/>
      <c r="M39" s="80"/>
      <c r="N39" s="80"/>
      <c r="O39" s="80"/>
      <c r="P39" s="80"/>
      <c r="Q39" s="79"/>
      <c r="R39" s="79"/>
      <c r="S39" s="80"/>
      <c r="T39" s="80"/>
      <c r="U39" s="80"/>
      <c r="V39" s="80"/>
      <c r="W39" s="80"/>
      <c r="X39" s="92"/>
      <c r="Y39" s="86"/>
      <c r="Z39" s="87"/>
      <c r="AA39" s="87"/>
      <c r="AB39" s="87"/>
      <c r="AC39" s="87"/>
      <c r="AD39" s="87"/>
      <c r="AE39" s="81">
        <v>36</v>
      </c>
      <c r="AM39" s="12"/>
      <c r="AN39" s="96"/>
      <c r="AO39" s="186"/>
      <c r="AP39" s="186"/>
      <c r="AQ39" s="11"/>
      <c r="AR39" s="11"/>
    </row>
    <row r="40" spans="1:66" s="4" customFormat="1" ht="56.25">
      <c r="A40" s="82">
        <v>12</v>
      </c>
      <c r="B40" s="83" t="s">
        <v>33</v>
      </c>
      <c r="C40" s="64">
        <f>SUM(D40:F42)</f>
        <v>72</v>
      </c>
      <c r="D40" s="65">
        <f>SUM(G40:X40)</f>
        <v>18</v>
      </c>
      <c r="E40" s="65"/>
      <c r="F40" s="66"/>
      <c r="G40" s="67">
        <v>2</v>
      </c>
      <c r="H40" s="68"/>
      <c r="I40" s="68">
        <v>2</v>
      </c>
      <c r="J40" s="67"/>
      <c r="K40" s="64">
        <v>2</v>
      </c>
      <c r="L40" s="65"/>
      <c r="M40" s="65">
        <v>2</v>
      </c>
      <c r="N40" s="65"/>
      <c r="O40" s="65">
        <v>2</v>
      </c>
      <c r="P40" s="65"/>
      <c r="Q40" s="64">
        <v>2</v>
      </c>
      <c r="R40" s="64"/>
      <c r="S40" s="65">
        <v>2</v>
      </c>
      <c r="T40" s="65"/>
      <c r="U40" s="65">
        <v>2</v>
      </c>
      <c r="V40" s="65"/>
      <c r="W40" s="65">
        <v>2</v>
      </c>
      <c r="X40" s="66"/>
      <c r="Y40" s="64"/>
      <c r="Z40" s="65"/>
      <c r="AA40" s="65"/>
      <c r="AB40" s="65"/>
      <c r="AC40" s="65"/>
      <c r="AD40" s="65"/>
      <c r="AE40" s="66" t="s">
        <v>22</v>
      </c>
      <c r="AM40" s="11"/>
      <c r="AN40" s="11"/>
      <c r="AO40" s="11"/>
      <c r="AP40" s="11"/>
      <c r="AQ40" s="11"/>
      <c r="AR40" s="11"/>
    </row>
    <row r="41" spans="1:66" s="4" customFormat="1">
      <c r="A41" s="84"/>
      <c r="B41" s="85"/>
      <c r="C41" s="71"/>
      <c r="D41" s="72"/>
      <c r="E41" s="72">
        <f>SUM(G41:X41)</f>
        <v>54</v>
      </c>
      <c r="F41" s="73"/>
      <c r="G41" s="71">
        <v>2</v>
      </c>
      <c r="H41" s="71">
        <v>4</v>
      </c>
      <c r="I41" s="71">
        <v>2</v>
      </c>
      <c r="J41" s="71">
        <v>4</v>
      </c>
      <c r="K41" s="71">
        <v>2</v>
      </c>
      <c r="L41" s="71">
        <v>4</v>
      </c>
      <c r="M41" s="71">
        <v>2</v>
      </c>
      <c r="N41" s="71">
        <v>4</v>
      </c>
      <c r="O41" s="71">
        <v>2</v>
      </c>
      <c r="P41" s="71">
        <v>4</v>
      </c>
      <c r="Q41" s="71">
        <v>2</v>
      </c>
      <c r="R41" s="71">
        <v>4</v>
      </c>
      <c r="S41" s="71">
        <v>2</v>
      </c>
      <c r="T41" s="71">
        <v>4</v>
      </c>
      <c r="U41" s="71">
        <v>2</v>
      </c>
      <c r="V41" s="71">
        <v>4</v>
      </c>
      <c r="W41" s="71">
        <v>2</v>
      </c>
      <c r="X41" s="90">
        <v>4</v>
      </c>
      <c r="Y41" s="91"/>
      <c r="Z41" s="72"/>
      <c r="AA41" s="72"/>
      <c r="AB41" s="72"/>
      <c r="AC41" s="72"/>
      <c r="AD41" s="72"/>
      <c r="AE41" s="76"/>
      <c r="AM41" s="12"/>
      <c r="AN41" s="96"/>
      <c r="AO41" s="186"/>
      <c r="AP41" s="186"/>
      <c r="AQ41" s="11"/>
      <c r="AR41" s="11"/>
    </row>
    <row r="42" spans="1:66" s="4" customFormat="1" ht="19.5" thickBot="1">
      <c r="A42" s="88"/>
      <c r="B42" s="89"/>
      <c r="C42" s="79"/>
      <c r="D42" s="80"/>
      <c r="E42" s="80"/>
      <c r="F42" s="81">
        <f>SUM(G42:X42)</f>
        <v>0</v>
      </c>
      <c r="G42" s="79"/>
      <c r="H42" s="80"/>
      <c r="I42" s="80"/>
      <c r="J42" s="79"/>
      <c r="K42" s="79"/>
      <c r="L42" s="80"/>
      <c r="M42" s="80"/>
      <c r="N42" s="80"/>
      <c r="O42" s="80"/>
      <c r="P42" s="80"/>
      <c r="Q42" s="79"/>
      <c r="R42" s="79"/>
      <c r="S42" s="80"/>
      <c r="T42" s="80"/>
      <c r="U42" s="80"/>
      <c r="V42" s="80"/>
      <c r="W42" s="80"/>
      <c r="X42" s="92"/>
      <c r="Y42" s="86"/>
      <c r="Z42" s="87"/>
      <c r="AA42" s="87"/>
      <c r="AB42" s="87"/>
      <c r="AC42" s="87"/>
      <c r="AD42" s="87"/>
      <c r="AE42" s="81">
        <v>9</v>
      </c>
      <c r="AM42" s="12"/>
      <c r="AN42" s="96"/>
      <c r="AO42" s="186"/>
      <c r="AP42" s="186"/>
      <c r="AQ42" s="11"/>
      <c r="AR42" s="11"/>
    </row>
    <row r="43" spans="1:66" s="4" customFormat="1" ht="37.5">
      <c r="A43" s="82">
        <v>12</v>
      </c>
      <c r="B43" s="83" t="s">
        <v>34</v>
      </c>
      <c r="C43" s="64">
        <f>SUM(D43:F45)</f>
        <v>36</v>
      </c>
      <c r="D43" s="65">
        <f>SUM(G43:X43)</f>
        <v>0</v>
      </c>
      <c r="E43" s="65"/>
      <c r="F43" s="66"/>
      <c r="G43" s="67"/>
      <c r="H43" s="68"/>
      <c r="I43" s="68"/>
      <c r="J43" s="67"/>
      <c r="K43" s="64"/>
      <c r="L43" s="65"/>
      <c r="M43" s="65"/>
      <c r="N43" s="65"/>
      <c r="O43" s="65"/>
      <c r="P43" s="65"/>
      <c r="Q43" s="64"/>
      <c r="R43" s="64"/>
      <c r="S43" s="65"/>
      <c r="T43" s="65"/>
      <c r="U43" s="65"/>
      <c r="V43" s="65"/>
      <c r="W43" s="65"/>
      <c r="X43" s="66"/>
      <c r="Y43" s="64"/>
      <c r="Z43" s="65"/>
      <c r="AA43" s="65"/>
      <c r="AB43" s="65"/>
      <c r="AC43" s="65"/>
      <c r="AD43" s="65"/>
      <c r="AE43" s="66" t="s">
        <v>22</v>
      </c>
      <c r="AM43" s="11"/>
      <c r="AN43" s="11"/>
      <c r="AO43" s="11"/>
      <c r="AP43" s="11"/>
      <c r="AQ43" s="11"/>
      <c r="AR43" s="11"/>
    </row>
    <row r="44" spans="1:66" s="4" customFormat="1" ht="19.5">
      <c r="A44" s="84"/>
      <c r="B44" s="100" t="s">
        <v>35</v>
      </c>
      <c r="C44" s="71"/>
      <c r="D44" s="72"/>
      <c r="E44" s="72">
        <f>SUM(G44:X44)</f>
        <v>36</v>
      </c>
      <c r="F44" s="73"/>
      <c r="G44" s="71">
        <v>2</v>
      </c>
      <c r="H44" s="71">
        <v>2</v>
      </c>
      <c r="I44" s="71">
        <v>2</v>
      </c>
      <c r="J44" s="71">
        <v>2</v>
      </c>
      <c r="K44" s="71">
        <v>2</v>
      </c>
      <c r="L44" s="71">
        <v>2</v>
      </c>
      <c r="M44" s="71">
        <v>2</v>
      </c>
      <c r="N44" s="71">
        <v>2</v>
      </c>
      <c r="O44" s="71">
        <v>2</v>
      </c>
      <c r="P44" s="71">
        <v>2</v>
      </c>
      <c r="Q44" s="71">
        <v>2</v>
      </c>
      <c r="R44" s="71">
        <v>2</v>
      </c>
      <c r="S44" s="71">
        <v>2</v>
      </c>
      <c r="T44" s="71">
        <v>2</v>
      </c>
      <c r="U44" s="71">
        <v>2</v>
      </c>
      <c r="V44" s="71">
        <v>2</v>
      </c>
      <c r="W44" s="71">
        <v>2</v>
      </c>
      <c r="X44" s="90">
        <v>2</v>
      </c>
      <c r="Y44" s="91"/>
      <c r="Z44" s="72"/>
      <c r="AA44" s="72"/>
      <c r="AB44" s="72"/>
      <c r="AC44" s="72"/>
      <c r="AD44" s="72"/>
      <c r="AE44" s="76"/>
      <c r="AM44" s="12"/>
      <c r="AN44" s="96"/>
      <c r="AO44" s="186"/>
      <c r="AP44" s="186"/>
      <c r="AQ44" s="11"/>
      <c r="AR44" s="11"/>
    </row>
    <row r="45" spans="1:66" s="4" customFormat="1" ht="19.5" thickBot="1">
      <c r="A45" s="88"/>
      <c r="B45" s="89"/>
      <c r="C45" s="79"/>
      <c r="D45" s="80"/>
      <c r="E45" s="80"/>
      <c r="F45" s="81">
        <f>SUM(G45:X45)</f>
        <v>0</v>
      </c>
      <c r="G45" s="79"/>
      <c r="H45" s="80"/>
      <c r="I45" s="80"/>
      <c r="J45" s="79"/>
      <c r="K45" s="79"/>
      <c r="L45" s="80"/>
      <c r="M45" s="80"/>
      <c r="N45" s="80"/>
      <c r="O45" s="80"/>
      <c r="P45" s="80"/>
      <c r="Q45" s="79"/>
      <c r="R45" s="79"/>
      <c r="S45" s="80"/>
      <c r="T45" s="80"/>
      <c r="U45" s="80"/>
      <c r="V45" s="80"/>
      <c r="W45" s="80"/>
      <c r="X45" s="92"/>
      <c r="Y45" s="86"/>
      <c r="Z45" s="87"/>
      <c r="AA45" s="87"/>
      <c r="AB45" s="87"/>
      <c r="AC45" s="87"/>
      <c r="AD45" s="87"/>
      <c r="AE45" s="81">
        <v>9</v>
      </c>
      <c r="AM45" s="12"/>
      <c r="AN45" s="96"/>
      <c r="AO45" s="186"/>
      <c r="AP45" s="186"/>
      <c r="AQ45" s="11"/>
      <c r="AR45" s="11"/>
    </row>
    <row r="46" spans="1:66" s="4" customFormat="1" ht="19.5" thickBot="1">
      <c r="A46" s="183" t="s">
        <v>20</v>
      </c>
      <c r="B46" s="184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5"/>
      <c r="AM46" s="11"/>
      <c r="AN46" s="11"/>
      <c r="AO46" s="11"/>
      <c r="AP46" s="11"/>
      <c r="AQ46" s="11"/>
      <c r="AR46" s="11"/>
    </row>
    <row r="47" spans="1:66" s="4" customFormat="1" ht="56.25">
      <c r="A47" s="82">
        <v>12</v>
      </c>
      <c r="B47" s="83" t="s">
        <v>31</v>
      </c>
      <c r="C47" s="64">
        <f>SUM(D47:F49)</f>
        <v>54</v>
      </c>
      <c r="D47" s="65">
        <f>SUM(G47:X47)</f>
        <v>18</v>
      </c>
      <c r="E47" s="65"/>
      <c r="F47" s="66"/>
      <c r="G47" s="64">
        <v>2</v>
      </c>
      <c r="H47" s="65"/>
      <c r="I47" s="65">
        <v>2</v>
      </c>
      <c r="J47" s="65"/>
      <c r="K47" s="64">
        <v>2</v>
      </c>
      <c r="L47" s="65"/>
      <c r="M47" s="65">
        <v>2</v>
      </c>
      <c r="N47" s="65"/>
      <c r="O47" s="65">
        <v>2</v>
      </c>
      <c r="P47" s="65"/>
      <c r="Q47" s="64">
        <v>2</v>
      </c>
      <c r="R47" s="64"/>
      <c r="S47" s="65">
        <v>2</v>
      </c>
      <c r="T47" s="65"/>
      <c r="U47" s="65">
        <v>2</v>
      </c>
      <c r="V47" s="65"/>
      <c r="W47" s="65">
        <v>2</v>
      </c>
      <c r="X47" s="66"/>
      <c r="Y47" s="64"/>
      <c r="Z47" s="65"/>
      <c r="AA47" s="65"/>
      <c r="AB47" s="65"/>
      <c r="AC47" s="65"/>
      <c r="AD47" s="65"/>
      <c r="AE47" s="66" t="s">
        <v>26</v>
      </c>
      <c r="AM47" s="11"/>
      <c r="AN47" s="11"/>
      <c r="AO47" s="11"/>
      <c r="AP47" s="11"/>
      <c r="AQ47" s="11"/>
      <c r="AR47" s="11"/>
    </row>
    <row r="48" spans="1:66" s="4" customFormat="1">
      <c r="A48" s="84"/>
      <c r="B48" s="85"/>
      <c r="C48" s="71"/>
      <c r="D48" s="72"/>
      <c r="E48" s="72">
        <f>SUM(G48:X48)</f>
        <v>18</v>
      </c>
      <c r="F48" s="73"/>
      <c r="G48" s="71"/>
      <c r="H48" s="72">
        <v>2</v>
      </c>
      <c r="I48" s="72"/>
      <c r="J48" s="72">
        <v>2</v>
      </c>
      <c r="K48" s="74"/>
      <c r="L48" s="75">
        <v>2</v>
      </c>
      <c r="M48" s="75"/>
      <c r="N48" s="75">
        <v>2</v>
      </c>
      <c r="O48" s="75"/>
      <c r="P48" s="75">
        <v>2</v>
      </c>
      <c r="Q48" s="75"/>
      <c r="R48" s="75">
        <v>2</v>
      </c>
      <c r="S48" s="75"/>
      <c r="T48" s="75">
        <v>2</v>
      </c>
      <c r="U48" s="75"/>
      <c r="V48" s="75">
        <v>2</v>
      </c>
      <c r="W48" s="75"/>
      <c r="X48" s="73">
        <v>2</v>
      </c>
      <c r="Y48" s="71"/>
      <c r="Z48" s="72"/>
      <c r="AA48" s="72"/>
      <c r="AB48" s="72"/>
      <c r="AC48" s="72"/>
      <c r="AD48" s="72"/>
      <c r="AE48" s="76"/>
      <c r="AM48" s="12"/>
      <c r="AN48" s="96"/>
      <c r="AO48" s="186"/>
      <c r="AP48" s="186"/>
      <c r="AQ48" s="11"/>
      <c r="AR48" s="11"/>
    </row>
    <row r="49" spans="1:44" s="4" customFormat="1" ht="19.5" thickBot="1">
      <c r="A49" s="88"/>
      <c r="B49" s="89"/>
      <c r="C49" s="79"/>
      <c r="D49" s="80"/>
      <c r="E49" s="80"/>
      <c r="F49" s="81">
        <f>SUM(G49:X49)</f>
        <v>18</v>
      </c>
      <c r="G49" s="79">
        <v>2</v>
      </c>
      <c r="H49" s="80"/>
      <c r="I49" s="80">
        <v>2</v>
      </c>
      <c r="J49" s="80"/>
      <c r="K49" s="79">
        <v>2</v>
      </c>
      <c r="L49" s="80"/>
      <c r="M49" s="80">
        <v>2</v>
      </c>
      <c r="N49" s="80"/>
      <c r="O49" s="80">
        <v>2</v>
      </c>
      <c r="P49" s="80"/>
      <c r="Q49" s="79">
        <v>2</v>
      </c>
      <c r="R49" s="79"/>
      <c r="S49" s="80">
        <v>2</v>
      </c>
      <c r="T49" s="80"/>
      <c r="U49" s="80">
        <v>2</v>
      </c>
      <c r="V49" s="80"/>
      <c r="W49" s="80">
        <v>2</v>
      </c>
      <c r="X49" s="81"/>
      <c r="Y49" s="79"/>
      <c r="Z49" s="80"/>
      <c r="AA49" s="80"/>
      <c r="AB49" s="80"/>
      <c r="AC49" s="80"/>
      <c r="AD49" s="80"/>
      <c r="AE49" s="81">
        <v>36</v>
      </c>
      <c r="AM49" s="12"/>
      <c r="AN49" s="96"/>
      <c r="AO49" s="186"/>
      <c r="AP49" s="186"/>
      <c r="AQ49" s="11"/>
      <c r="AR49" s="11"/>
    </row>
    <row r="50" spans="1:44" s="4" customFormat="1" ht="19.5" thickBot="1">
      <c r="A50" s="182" t="s">
        <v>21</v>
      </c>
      <c r="B50" s="182"/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  <c r="W50" s="182"/>
      <c r="X50" s="182"/>
      <c r="Y50" s="182"/>
      <c r="Z50" s="182"/>
      <c r="AA50" s="182"/>
      <c r="AB50" s="182"/>
      <c r="AC50" s="182"/>
      <c r="AD50" s="182"/>
      <c r="AE50" s="182"/>
      <c r="AM50" s="11"/>
      <c r="AN50" s="11"/>
      <c r="AO50" s="11"/>
      <c r="AP50" s="11"/>
      <c r="AQ50" s="11"/>
      <c r="AR50" s="11"/>
    </row>
    <row r="51" spans="1:44" s="4" customFormat="1" ht="19.5" thickBot="1">
      <c r="A51" s="224" t="s">
        <v>66</v>
      </c>
      <c r="B51" s="224"/>
      <c r="C51" s="224"/>
      <c r="D51" s="224"/>
      <c r="E51" s="224"/>
      <c r="F51" s="224"/>
      <c r="G51" s="224"/>
      <c r="H51" s="224"/>
      <c r="I51" s="224"/>
      <c r="J51" s="224"/>
      <c r="K51" s="219"/>
      <c r="L51" s="219"/>
      <c r="M51" s="219"/>
      <c r="N51" s="219"/>
      <c r="O51" s="219"/>
      <c r="P51" s="219"/>
      <c r="Q51" s="224"/>
      <c r="R51" s="224"/>
      <c r="S51" s="224"/>
      <c r="T51" s="224"/>
      <c r="U51" s="224"/>
      <c r="V51" s="224"/>
      <c r="W51" s="224"/>
      <c r="X51" s="224"/>
      <c r="Y51" s="224"/>
      <c r="Z51" s="224"/>
      <c r="AA51" s="224"/>
      <c r="AB51" s="224"/>
      <c r="AC51" s="224"/>
      <c r="AD51" s="224"/>
      <c r="AE51" s="224"/>
      <c r="AM51" s="11"/>
      <c r="AN51" s="11"/>
      <c r="AO51" s="11"/>
      <c r="AP51" s="11"/>
      <c r="AQ51" s="11"/>
      <c r="AR51" s="11"/>
    </row>
    <row r="52" spans="1:44" s="4" customFormat="1" ht="56.25">
      <c r="A52" s="62">
        <v>12</v>
      </c>
      <c r="B52" s="63" t="s">
        <v>31</v>
      </c>
      <c r="C52" s="64">
        <f t="shared" ref="C52" si="9">SUM(D52:F54)</f>
        <v>36</v>
      </c>
      <c r="D52" s="65">
        <f t="shared" ref="D52" si="10">SUM(G52:X52)</f>
        <v>18</v>
      </c>
      <c r="E52" s="65"/>
      <c r="F52" s="66"/>
      <c r="G52" s="67">
        <v>2</v>
      </c>
      <c r="H52" s="68"/>
      <c r="I52" s="68">
        <v>2</v>
      </c>
      <c r="J52" s="67"/>
      <c r="K52" s="64">
        <v>2</v>
      </c>
      <c r="L52" s="65"/>
      <c r="M52" s="65">
        <v>2</v>
      </c>
      <c r="N52" s="65"/>
      <c r="O52" s="65">
        <v>2</v>
      </c>
      <c r="P52" s="65"/>
      <c r="Q52" s="64">
        <v>2</v>
      </c>
      <c r="R52" s="64"/>
      <c r="S52" s="65">
        <v>2</v>
      </c>
      <c r="T52" s="65"/>
      <c r="U52" s="65">
        <v>2</v>
      </c>
      <c r="V52" s="65"/>
      <c r="W52" s="65">
        <v>2</v>
      </c>
      <c r="X52" s="65"/>
      <c r="Y52" s="65"/>
      <c r="Z52" s="65"/>
      <c r="AA52" s="65"/>
      <c r="AB52" s="65"/>
      <c r="AC52" s="65"/>
      <c r="AD52" s="65"/>
      <c r="AE52" s="66" t="s">
        <v>26</v>
      </c>
    </row>
    <row r="53" spans="1:44" s="4" customFormat="1" ht="19.5">
      <c r="A53" s="69"/>
      <c r="B53" s="70"/>
      <c r="C53" s="71"/>
      <c r="D53" s="72"/>
      <c r="E53" s="72">
        <f t="shared" ref="E53" si="11">SUM(G53:X53)</f>
        <v>18</v>
      </c>
      <c r="F53" s="73"/>
      <c r="G53" s="71"/>
      <c r="H53" s="72">
        <v>2</v>
      </c>
      <c r="I53" s="72"/>
      <c r="J53" s="71">
        <v>2</v>
      </c>
      <c r="K53" s="74"/>
      <c r="L53" s="75">
        <v>2</v>
      </c>
      <c r="M53" s="75"/>
      <c r="N53" s="75">
        <v>2</v>
      </c>
      <c r="O53" s="75"/>
      <c r="P53" s="75">
        <v>2</v>
      </c>
      <c r="Q53" s="71"/>
      <c r="R53" s="71">
        <v>2</v>
      </c>
      <c r="S53" s="72"/>
      <c r="T53" s="72">
        <v>2</v>
      </c>
      <c r="U53" s="72"/>
      <c r="V53" s="72">
        <v>2</v>
      </c>
      <c r="W53" s="72"/>
      <c r="X53" s="72">
        <v>2</v>
      </c>
      <c r="Y53" s="72"/>
      <c r="Z53" s="72"/>
      <c r="AA53" s="72"/>
      <c r="AB53" s="72"/>
      <c r="AC53" s="72"/>
      <c r="AD53" s="72"/>
      <c r="AE53" s="76"/>
    </row>
    <row r="54" spans="1:44" s="4" customFormat="1" ht="21.75" customHeight="1" thickBot="1">
      <c r="A54" s="77"/>
      <c r="B54" s="78"/>
      <c r="C54" s="79"/>
      <c r="D54" s="80"/>
      <c r="E54" s="80"/>
      <c r="F54" s="81">
        <f t="shared" ref="F54" si="12">SUM(G54:X54)</f>
        <v>0</v>
      </c>
      <c r="G54" s="79"/>
      <c r="H54" s="80"/>
      <c r="I54" s="80"/>
      <c r="J54" s="79"/>
      <c r="K54" s="79"/>
      <c r="L54" s="80"/>
      <c r="M54" s="80"/>
      <c r="N54" s="80"/>
      <c r="O54" s="80"/>
      <c r="P54" s="80"/>
      <c r="Q54" s="79"/>
      <c r="R54" s="79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1">
        <v>36</v>
      </c>
      <c r="AM54" s="11"/>
      <c r="AN54" s="11"/>
      <c r="AO54" s="11"/>
      <c r="AP54" s="11"/>
      <c r="AQ54" s="11"/>
      <c r="AR54" s="11"/>
    </row>
    <row r="55" spans="1:44" s="4" customFormat="1" ht="19.5" thickBot="1">
      <c r="A55" s="183" t="s">
        <v>37</v>
      </c>
      <c r="B55" s="184"/>
      <c r="C55" s="184"/>
      <c r="D55" s="184"/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5"/>
      <c r="AM55" s="12"/>
      <c r="AN55" s="96"/>
      <c r="AO55" s="186"/>
      <c r="AP55" s="186"/>
      <c r="AQ55" s="11"/>
      <c r="AR55" s="11"/>
    </row>
    <row r="56" spans="1:44" s="4" customFormat="1" ht="37.5">
      <c r="A56" s="82">
        <v>12</v>
      </c>
      <c r="B56" s="83" t="s">
        <v>36</v>
      </c>
      <c r="C56" s="64">
        <f>SUM(D56:F58)</f>
        <v>42</v>
      </c>
      <c r="D56" s="65">
        <f>SUM(G56:X56)</f>
        <v>14</v>
      </c>
      <c r="E56" s="65"/>
      <c r="F56" s="66"/>
      <c r="G56" s="67">
        <v>2</v>
      </c>
      <c r="H56" s="68"/>
      <c r="I56" s="68">
        <v>2</v>
      </c>
      <c r="J56" s="67"/>
      <c r="K56" s="64">
        <v>2</v>
      </c>
      <c r="L56" s="65"/>
      <c r="M56" s="65">
        <v>2</v>
      </c>
      <c r="N56" s="65"/>
      <c r="O56" s="65">
        <v>2</v>
      </c>
      <c r="P56" s="65"/>
      <c r="Q56" s="64">
        <v>2</v>
      </c>
      <c r="R56" s="64"/>
      <c r="S56" s="65">
        <v>2</v>
      </c>
      <c r="T56" s="66"/>
      <c r="U56" s="64"/>
      <c r="V56" s="65"/>
      <c r="W56" s="65"/>
      <c r="X56" s="65"/>
      <c r="Y56" s="64"/>
      <c r="Z56" s="65"/>
      <c r="AA56" s="65"/>
      <c r="AB56" s="65"/>
      <c r="AC56" s="65"/>
      <c r="AD56" s="65"/>
      <c r="AE56" s="66" t="s">
        <v>15</v>
      </c>
      <c r="AM56" s="11"/>
      <c r="AN56" s="11"/>
      <c r="AO56" s="11"/>
      <c r="AP56" s="11"/>
      <c r="AQ56" s="11"/>
      <c r="AR56" s="11"/>
    </row>
    <row r="57" spans="1:44" s="4" customFormat="1">
      <c r="A57" s="84"/>
      <c r="B57" s="85"/>
      <c r="C57" s="71"/>
      <c r="D57" s="72"/>
      <c r="E57" s="72">
        <f>SUM(G57:X57)</f>
        <v>28</v>
      </c>
      <c r="F57" s="73"/>
      <c r="G57" s="71">
        <v>2</v>
      </c>
      <c r="H57" s="71">
        <v>2</v>
      </c>
      <c r="I57" s="71">
        <v>2</v>
      </c>
      <c r="J57" s="71">
        <v>2</v>
      </c>
      <c r="K57" s="71">
        <v>2</v>
      </c>
      <c r="L57" s="71">
        <v>2</v>
      </c>
      <c r="M57" s="71">
        <v>2</v>
      </c>
      <c r="N57" s="71">
        <v>2</v>
      </c>
      <c r="O57" s="71">
        <v>2</v>
      </c>
      <c r="P57" s="71">
        <v>2</v>
      </c>
      <c r="Q57" s="71">
        <v>2</v>
      </c>
      <c r="R57" s="71">
        <v>2</v>
      </c>
      <c r="S57" s="71">
        <v>2</v>
      </c>
      <c r="T57" s="73">
        <v>2</v>
      </c>
      <c r="U57" s="71"/>
      <c r="V57" s="71"/>
      <c r="W57" s="71"/>
      <c r="X57" s="72"/>
      <c r="Y57" s="71"/>
      <c r="Z57" s="72"/>
      <c r="AA57" s="72"/>
      <c r="AB57" s="72"/>
      <c r="AC57" s="72"/>
      <c r="AD57" s="72"/>
      <c r="AE57" s="76"/>
      <c r="AM57" s="12"/>
      <c r="AN57" s="96"/>
      <c r="AO57" s="186"/>
      <c r="AP57" s="186"/>
      <c r="AQ57" s="11"/>
      <c r="AR57" s="11"/>
    </row>
    <row r="58" spans="1:44" s="4" customFormat="1" ht="19.5" thickBot="1">
      <c r="A58" s="84"/>
      <c r="B58" s="85"/>
      <c r="C58" s="79"/>
      <c r="D58" s="80"/>
      <c r="E58" s="80"/>
      <c r="F58" s="81">
        <f>SUM(G58:X58)</f>
        <v>0</v>
      </c>
      <c r="G58" s="86"/>
      <c r="H58" s="87"/>
      <c r="I58" s="86"/>
      <c r="J58" s="79"/>
      <c r="K58" s="86"/>
      <c r="L58" s="72"/>
      <c r="M58" s="72"/>
      <c r="N58" s="72"/>
      <c r="O58" s="72"/>
      <c r="P58" s="72"/>
      <c r="Q58" s="71"/>
      <c r="R58" s="71"/>
      <c r="S58" s="72"/>
      <c r="T58" s="73"/>
      <c r="U58" s="71"/>
      <c r="V58" s="72"/>
      <c r="W58" s="72"/>
      <c r="X58" s="72"/>
      <c r="Y58" s="71"/>
      <c r="Z58" s="72"/>
      <c r="AA58" s="72"/>
      <c r="AB58" s="72"/>
      <c r="AC58" s="72"/>
      <c r="AD58" s="72"/>
      <c r="AE58" s="81">
        <v>18</v>
      </c>
      <c r="AM58" s="12"/>
      <c r="AN58" s="96"/>
      <c r="AO58" s="186"/>
      <c r="AP58" s="186"/>
      <c r="AQ58" s="11"/>
      <c r="AR58" s="11"/>
    </row>
    <row r="59" spans="1:44" ht="19.5" thickBot="1">
      <c r="A59" s="183" t="s">
        <v>24</v>
      </c>
      <c r="B59" s="184"/>
      <c r="C59" s="184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85"/>
    </row>
    <row r="60" spans="1:44" s="4" customFormat="1" ht="93.75">
      <c r="A60" s="62">
        <v>12</v>
      </c>
      <c r="B60" s="63" t="s">
        <v>38</v>
      </c>
      <c r="C60" s="64">
        <f>SUM(D60:F62)</f>
        <v>108</v>
      </c>
      <c r="D60" s="65">
        <f>SUM(G60:X60)</f>
        <v>36</v>
      </c>
      <c r="E60" s="65"/>
      <c r="F60" s="66"/>
      <c r="G60" s="64">
        <v>2</v>
      </c>
      <c r="H60" s="64">
        <v>2</v>
      </c>
      <c r="I60" s="64">
        <v>2</v>
      </c>
      <c r="J60" s="64">
        <v>2</v>
      </c>
      <c r="K60" s="64">
        <v>2</v>
      </c>
      <c r="L60" s="64">
        <v>2</v>
      </c>
      <c r="M60" s="64">
        <v>2</v>
      </c>
      <c r="N60" s="64">
        <v>2</v>
      </c>
      <c r="O60" s="64">
        <v>2</v>
      </c>
      <c r="P60" s="64">
        <v>2</v>
      </c>
      <c r="Q60" s="64">
        <v>2</v>
      </c>
      <c r="R60" s="64">
        <v>2</v>
      </c>
      <c r="S60" s="64">
        <v>2</v>
      </c>
      <c r="T60" s="64">
        <v>2</v>
      </c>
      <c r="U60" s="64">
        <v>2</v>
      </c>
      <c r="V60" s="64">
        <v>2</v>
      </c>
      <c r="W60" s="64">
        <v>2</v>
      </c>
      <c r="X60" s="66">
        <v>2</v>
      </c>
      <c r="Y60" s="64"/>
      <c r="Z60" s="65"/>
      <c r="AA60" s="65"/>
      <c r="AB60" s="65"/>
      <c r="AC60" s="65"/>
      <c r="AD60" s="65"/>
      <c r="AE60" s="66" t="s">
        <v>18</v>
      </c>
    </row>
    <row r="61" spans="1:44" s="4" customFormat="1" ht="19.5">
      <c r="A61" s="69"/>
      <c r="B61" s="70"/>
      <c r="C61" s="71"/>
      <c r="D61" s="72"/>
      <c r="E61" s="72">
        <f>SUM(G61:X61)</f>
        <v>72</v>
      </c>
      <c r="F61" s="73"/>
      <c r="G61" s="71">
        <v>4</v>
      </c>
      <c r="H61" s="71">
        <v>4</v>
      </c>
      <c r="I61" s="71">
        <v>4</v>
      </c>
      <c r="J61" s="71">
        <v>4</v>
      </c>
      <c r="K61" s="71">
        <v>4</v>
      </c>
      <c r="L61" s="71">
        <v>4</v>
      </c>
      <c r="M61" s="71">
        <v>4</v>
      </c>
      <c r="N61" s="71">
        <v>4</v>
      </c>
      <c r="O61" s="71">
        <v>4</v>
      </c>
      <c r="P61" s="71">
        <v>4</v>
      </c>
      <c r="Q61" s="71">
        <v>4</v>
      </c>
      <c r="R61" s="71">
        <v>4</v>
      </c>
      <c r="S61" s="71">
        <v>4</v>
      </c>
      <c r="T61" s="71">
        <v>4</v>
      </c>
      <c r="U61" s="71">
        <v>4</v>
      </c>
      <c r="V61" s="71">
        <v>4</v>
      </c>
      <c r="W61" s="71">
        <v>4</v>
      </c>
      <c r="X61" s="73">
        <v>4</v>
      </c>
      <c r="Y61" s="71"/>
      <c r="Z61" s="72"/>
      <c r="AA61" s="72"/>
      <c r="AB61" s="72"/>
      <c r="AC61" s="72"/>
      <c r="AD61" s="72"/>
      <c r="AE61" s="76"/>
    </row>
    <row r="62" spans="1:44" s="4" customFormat="1" ht="21.75" customHeight="1" thickBot="1">
      <c r="A62" s="77"/>
      <c r="B62" s="78"/>
      <c r="C62" s="79"/>
      <c r="D62" s="80"/>
      <c r="E62" s="80"/>
      <c r="F62" s="81">
        <f>SUM(G62:X62)</f>
        <v>0</v>
      </c>
      <c r="G62" s="79"/>
      <c r="H62" s="80"/>
      <c r="I62" s="80"/>
      <c r="J62" s="80"/>
      <c r="K62" s="79"/>
      <c r="L62" s="80"/>
      <c r="M62" s="80"/>
      <c r="N62" s="80"/>
      <c r="O62" s="80"/>
      <c r="P62" s="80"/>
      <c r="Q62" s="79"/>
      <c r="R62" s="79"/>
      <c r="S62" s="80"/>
      <c r="T62" s="80"/>
      <c r="U62" s="80"/>
      <c r="V62" s="80"/>
      <c r="W62" s="80"/>
      <c r="X62" s="81"/>
      <c r="Y62" s="79"/>
      <c r="Z62" s="80"/>
      <c r="AA62" s="80"/>
      <c r="AB62" s="80"/>
      <c r="AC62" s="80"/>
      <c r="AD62" s="80"/>
      <c r="AE62" s="81">
        <v>18</v>
      </c>
      <c r="AM62" s="11"/>
      <c r="AN62" s="11"/>
      <c r="AO62" s="11"/>
      <c r="AP62" s="11"/>
      <c r="AQ62" s="11"/>
      <c r="AR62" s="11"/>
    </row>
    <row r="63" spans="1:44" s="4" customFormat="1" ht="56.25">
      <c r="A63" s="82">
        <v>12</v>
      </c>
      <c r="B63" s="83" t="s">
        <v>33</v>
      </c>
      <c r="C63" s="64">
        <f>SUM(D63:F65)</f>
        <v>90</v>
      </c>
      <c r="D63" s="65">
        <f>SUM(G63:X63)</f>
        <v>36</v>
      </c>
      <c r="E63" s="65"/>
      <c r="F63" s="66"/>
      <c r="G63" s="64">
        <v>2</v>
      </c>
      <c r="H63" s="64">
        <v>2</v>
      </c>
      <c r="I63" s="64">
        <v>2</v>
      </c>
      <c r="J63" s="64">
        <v>2</v>
      </c>
      <c r="K63" s="64">
        <v>2</v>
      </c>
      <c r="L63" s="64">
        <v>2</v>
      </c>
      <c r="M63" s="64">
        <v>2</v>
      </c>
      <c r="N63" s="64">
        <v>2</v>
      </c>
      <c r="O63" s="64">
        <v>2</v>
      </c>
      <c r="P63" s="64">
        <v>2</v>
      </c>
      <c r="Q63" s="64">
        <v>2</v>
      </c>
      <c r="R63" s="64">
        <v>2</v>
      </c>
      <c r="S63" s="64">
        <v>2</v>
      </c>
      <c r="T63" s="64">
        <v>2</v>
      </c>
      <c r="U63" s="64">
        <v>2</v>
      </c>
      <c r="V63" s="64">
        <v>2</v>
      </c>
      <c r="W63" s="64">
        <v>2</v>
      </c>
      <c r="X63" s="66">
        <v>2</v>
      </c>
      <c r="Y63" s="64"/>
      <c r="Z63" s="65"/>
      <c r="AA63" s="65"/>
      <c r="AB63" s="65"/>
      <c r="AC63" s="65"/>
      <c r="AD63" s="65"/>
      <c r="AE63" s="66" t="s">
        <v>26</v>
      </c>
      <c r="AM63" s="11"/>
      <c r="AN63" s="11"/>
      <c r="AO63" s="11"/>
      <c r="AP63" s="11"/>
      <c r="AQ63" s="11"/>
      <c r="AR63" s="11"/>
    </row>
    <row r="64" spans="1:44" s="4" customFormat="1">
      <c r="A64" s="84"/>
      <c r="B64" s="85"/>
      <c r="C64" s="71"/>
      <c r="D64" s="72"/>
      <c r="E64" s="72">
        <f>SUM(G64:X64)</f>
        <v>54</v>
      </c>
      <c r="F64" s="73"/>
      <c r="G64" s="71">
        <v>2</v>
      </c>
      <c r="H64" s="72">
        <v>4</v>
      </c>
      <c r="I64" s="72">
        <v>2</v>
      </c>
      <c r="J64" s="72">
        <v>4</v>
      </c>
      <c r="K64" s="74">
        <v>2</v>
      </c>
      <c r="L64" s="75">
        <v>4</v>
      </c>
      <c r="M64" s="75">
        <v>2</v>
      </c>
      <c r="N64" s="75">
        <v>4</v>
      </c>
      <c r="O64" s="75">
        <v>2</v>
      </c>
      <c r="P64" s="75">
        <v>4</v>
      </c>
      <c r="Q64" s="75">
        <v>2</v>
      </c>
      <c r="R64" s="75">
        <v>4</v>
      </c>
      <c r="S64" s="75">
        <v>2</v>
      </c>
      <c r="T64" s="75">
        <v>4</v>
      </c>
      <c r="U64" s="75">
        <v>2</v>
      </c>
      <c r="V64" s="75">
        <v>4</v>
      </c>
      <c r="W64" s="75">
        <v>2</v>
      </c>
      <c r="X64" s="73">
        <v>4</v>
      </c>
      <c r="Y64" s="71"/>
      <c r="Z64" s="72"/>
      <c r="AA64" s="72"/>
      <c r="AB64" s="72"/>
      <c r="AC64" s="72"/>
      <c r="AD64" s="72"/>
      <c r="AE64" s="76"/>
      <c r="AM64" s="12"/>
      <c r="AN64" s="96"/>
      <c r="AO64" s="186"/>
      <c r="AP64" s="186"/>
      <c r="AQ64" s="11"/>
      <c r="AR64" s="11"/>
    </row>
    <row r="65" spans="1:44" s="4" customFormat="1" ht="19.5" thickBot="1">
      <c r="A65" s="88"/>
      <c r="B65" s="89"/>
      <c r="C65" s="79"/>
      <c r="D65" s="80"/>
      <c r="E65" s="80"/>
      <c r="F65" s="81">
        <f>SUM(G65:X65)</f>
        <v>0</v>
      </c>
      <c r="G65" s="79"/>
      <c r="H65" s="80"/>
      <c r="I65" s="80"/>
      <c r="J65" s="80"/>
      <c r="K65" s="79"/>
      <c r="L65" s="80"/>
      <c r="M65" s="80"/>
      <c r="N65" s="80"/>
      <c r="O65" s="80"/>
      <c r="P65" s="80"/>
      <c r="Q65" s="79"/>
      <c r="R65" s="79"/>
      <c r="S65" s="80"/>
      <c r="T65" s="80"/>
      <c r="U65" s="80"/>
      <c r="V65" s="80"/>
      <c r="W65" s="80"/>
      <c r="X65" s="81"/>
      <c r="Y65" s="79"/>
      <c r="Z65" s="80"/>
      <c r="AA65" s="80"/>
      <c r="AB65" s="80"/>
      <c r="AC65" s="80"/>
      <c r="AD65" s="80"/>
      <c r="AE65" s="81">
        <v>36</v>
      </c>
      <c r="AM65" s="12"/>
      <c r="AN65" s="96"/>
      <c r="AO65" s="186"/>
      <c r="AP65" s="186"/>
      <c r="AQ65" s="11"/>
      <c r="AR65" s="11"/>
    </row>
    <row r="66" spans="1:44" s="4" customFormat="1" ht="56.25">
      <c r="A66" s="82">
        <v>12</v>
      </c>
      <c r="B66" s="83" t="s">
        <v>39</v>
      </c>
      <c r="C66" s="64">
        <f>SUM(D66:F68)</f>
        <v>90</v>
      </c>
      <c r="D66" s="65">
        <f>SUM(G66:X66)</f>
        <v>36</v>
      </c>
      <c r="E66" s="65"/>
      <c r="F66" s="66"/>
      <c r="G66" s="64">
        <v>2</v>
      </c>
      <c r="H66" s="64">
        <v>2</v>
      </c>
      <c r="I66" s="64">
        <v>2</v>
      </c>
      <c r="J66" s="64">
        <v>2</v>
      </c>
      <c r="K66" s="64">
        <v>2</v>
      </c>
      <c r="L66" s="64">
        <v>2</v>
      </c>
      <c r="M66" s="64">
        <v>2</v>
      </c>
      <c r="N66" s="64">
        <v>2</v>
      </c>
      <c r="O66" s="64">
        <v>2</v>
      </c>
      <c r="P66" s="64">
        <v>2</v>
      </c>
      <c r="Q66" s="64">
        <v>2</v>
      </c>
      <c r="R66" s="64">
        <v>2</v>
      </c>
      <c r="S66" s="64">
        <v>2</v>
      </c>
      <c r="T66" s="64">
        <v>2</v>
      </c>
      <c r="U66" s="64">
        <v>2</v>
      </c>
      <c r="V66" s="64">
        <v>2</v>
      </c>
      <c r="W66" s="64">
        <v>2</v>
      </c>
      <c r="X66" s="66">
        <v>2</v>
      </c>
      <c r="Y66" s="64"/>
      <c r="Z66" s="65"/>
      <c r="AA66" s="65"/>
      <c r="AB66" s="65"/>
      <c r="AC66" s="65"/>
      <c r="AD66" s="65"/>
      <c r="AE66" s="66" t="s">
        <v>26</v>
      </c>
      <c r="AM66" s="11"/>
      <c r="AN66" s="11"/>
      <c r="AO66" s="11"/>
      <c r="AP66" s="11"/>
      <c r="AQ66" s="11"/>
      <c r="AR66" s="11"/>
    </row>
    <row r="67" spans="1:44" s="4" customFormat="1">
      <c r="A67" s="84"/>
      <c r="B67" s="85"/>
      <c r="C67" s="71"/>
      <c r="D67" s="72"/>
      <c r="E67" s="72">
        <f>SUM(G67:X67)</f>
        <v>54</v>
      </c>
      <c r="F67" s="73"/>
      <c r="G67" s="71">
        <v>2</v>
      </c>
      <c r="H67" s="72">
        <v>4</v>
      </c>
      <c r="I67" s="72">
        <v>2</v>
      </c>
      <c r="J67" s="72">
        <v>4</v>
      </c>
      <c r="K67" s="74">
        <v>2</v>
      </c>
      <c r="L67" s="75">
        <v>4</v>
      </c>
      <c r="M67" s="75">
        <v>2</v>
      </c>
      <c r="N67" s="75">
        <v>4</v>
      </c>
      <c r="O67" s="75">
        <v>2</v>
      </c>
      <c r="P67" s="75">
        <v>4</v>
      </c>
      <c r="Q67" s="75">
        <v>2</v>
      </c>
      <c r="R67" s="75">
        <v>4</v>
      </c>
      <c r="S67" s="75">
        <v>2</v>
      </c>
      <c r="T67" s="75">
        <v>4</v>
      </c>
      <c r="U67" s="75">
        <v>2</v>
      </c>
      <c r="V67" s="75">
        <v>4</v>
      </c>
      <c r="W67" s="75">
        <v>2</v>
      </c>
      <c r="X67" s="73">
        <v>4</v>
      </c>
      <c r="Y67" s="71"/>
      <c r="Z67" s="72"/>
      <c r="AA67" s="72"/>
      <c r="AB67" s="72"/>
      <c r="AC67" s="72"/>
      <c r="AD67" s="72"/>
      <c r="AE67" s="76" t="s">
        <v>40</v>
      </c>
      <c r="AM67" s="12"/>
      <c r="AN67" s="96"/>
      <c r="AO67" s="186"/>
      <c r="AP67" s="186"/>
      <c r="AQ67" s="11"/>
      <c r="AR67" s="11"/>
    </row>
    <row r="68" spans="1:44" s="4" customFormat="1" ht="19.5" thickBot="1">
      <c r="A68" s="88"/>
      <c r="B68" s="89"/>
      <c r="C68" s="79"/>
      <c r="D68" s="80"/>
      <c r="E68" s="80"/>
      <c r="F68" s="81">
        <f>SUM(G68:X68)</f>
        <v>0</v>
      </c>
      <c r="G68" s="79"/>
      <c r="H68" s="80"/>
      <c r="I68" s="80"/>
      <c r="J68" s="80"/>
      <c r="K68" s="79"/>
      <c r="L68" s="80"/>
      <c r="M68" s="80"/>
      <c r="N68" s="80"/>
      <c r="O68" s="80"/>
      <c r="P68" s="80"/>
      <c r="Q68" s="79"/>
      <c r="R68" s="79"/>
      <c r="S68" s="80"/>
      <c r="T68" s="80"/>
      <c r="U68" s="80"/>
      <c r="V68" s="80"/>
      <c r="W68" s="80"/>
      <c r="X68" s="81"/>
      <c r="Y68" s="79"/>
      <c r="Z68" s="80"/>
      <c r="AA68" s="80"/>
      <c r="AB68" s="80"/>
      <c r="AC68" s="80"/>
      <c r="AD68" s="80"/>
      <c r="AE68" s="81">
        <v>36</v>
      </c>
      <c r="AM68" s="12"/>
      <c r="AN68" s="96"/>
      <c r="AO68" s="186"/>
      <c r="AP68" s="186"/>
      <c r="AQ68" s="11"/>
      <c r="AR68" s="11"/>
    </row>
    <row r="69" spans="1:44" s="4" customFormat="1" ht="56.25">
      <c r="A69" s="82">
        <v>12</v>
      </c>
      <c r="B69" s="83" t="s">
        <v>41</v>
      </c>
      <c r="C69" s="64">
        <f>SUM(D69:F71)</f>
        <v>54</v>
      </c>
      <c r="D69" s="65">
        <f>SUM(G69:X69)</f>
        <v>18</v>
      </c>
      <c r="E69" s="65"/>
      <c r="F69" s="66"/>
      <c r="G69" s="67">
        <v>2</v>
      </c>
      <c r="H69" s="68"/>
      <c r="I69" s="68">
        <v>2</v>
      </c>
      <c r="J69" s="67"/>
      <c r="K69" s="64">
        <v>2</v>
      </c>
      <c r="L69" s="65"/>
      <c r="M69" s="65">
        <v>2</v>
      </c>
      <c r="N69" s="65"/>
      <c r="O69" s="65">
        <v>2</v>
      </c>
      <c r="P69" s="65"/>
      <c r="Q69" s="64">
        <v>2</v>
      </c>
      <c r="R69" s="64"/>
      <c r="S69" s="65">
        <v>2</v>
      </c>
      <c r="T69" s="65"/>
      <c r="U69" s="65">
        <v>2</v>
      </c>
      <c r="V69" s="65"/>
      <c r="W69" s="65">
        <v>2</v>
      </c>
      <c r="X69" s="66"/>
      <c r="Y69" s="64"/>
      <c r="Z69" s="65"/>
      <c r="AA69" s="65"/>
      <c r="AB69" s="65"/>
      <c r="AC69" s="65"/>
      <c r="AD69" s="65"/>
      <c r="AE69" s="66" t="s">
        <v>26</v>
      </c>
      <c r="AM69" s="11"/>
      <c r="AN69" s="11"/>
      <c r="AO69" s="11"/>
      <c r="AP69" s="11"/>
      <c r="AQ69" s="11"/>
      <c r="AR69" s="11"/>
    </row>
    <row r="70" spans="1:44" s="4" customFormat="1">
      <c r="A70" s="84"/>
      <c r="B70" s="85"/>
      <c r="C70" s="71"/>
      <c r="D70" s="72"/>
      <c r="E70" s="72">
        <f>SUM(G70:X70)</f>
        <v>36</v>
      </c>
      <c r="F70" s="73"/>
      <c r="G70" s="71"/>
      <c r="H70" s="71">
        <v>4</v>
      </c>
      <c r="I70" s="71"/>
      <c r="J70" s="71">
        <v>4</v>
      </c>
      <c r="K70" s="71"/>
      <c r="L70" s="71">
        <v>4</v>
      </c>
      <c r="M70" s="71"/>
      <c r="N70" s="71">
        <v>4</v>
      </c>
      <c r="O70" s="71"/>
      <c r="P70" s="71">
        <v>4</v>
      </c>
      <c r="Q70" s="71"/>
      <c r="R70" s="71">
        <v>4</v>
      </c>
      <c r="S70" s="71"/>
      <c r="T70" s="71">
        <v>4</v>
      </c>
      <c r="U70" s="71"/>
      <c r="V70" s="71">
        <v>4</v>
      </c>
      <c r="W70" s="71"/>
      <c r="X70" s="90">
        <v>4</v>
      </c>
      <c r="Y70" s="91"/>
      <c r="Z70" s="72"/>
      <c r="AA70" s="72"/>
      <c r="AB70" s="72"/>
      <c r="AC70" s="72"/>
      <c r="AD70" s="72"/>
      <c r="AE70" s="76"/>
      <c r="AM70" s="12"/>
      <c r="AN70" s="96"/>
      <c r="AO70" s="186"/>
      <c r="AP70" s="186"/>
      <c r="AQ70" s="11"/>
      <c r="AR70" s="11"/>
    </row>
    <row r="71" spans="1:44" s="4" customFormat="1" ht="19.5" thickBot="1">
      <c r="A71" s="88"/>
      <c r="B71" s="89"/>
      <c r="C71" s="79"/>
      <c r="D71" s="80"/>
      <c r="E71" s="80"/>
      <c r="F71" s="81">
        <f>SUM(G71:X71)</f>
        <v>0</v>
      </c>
      <c r="G71" s="79"/>
      <c r="H71" s="80"/>
      <c r="I71" s="80"/>
      <c r="J71" s="79"/>
      <c r="K71" s="79"/>
      <c r="L71" s="80"/>
      <c r="M71" s="80"/>
      <c r="N71" s="80"/>
      <c r="O71" s="80"/>
      <c r="P71" s="80"/>
      <c r="Q71" s="79"/>
      <c r="R71" s="79"/>
      <c r="S71" s="80"/>
      <c r="T71" s="80"/>
      <c r="U71" s="80"/>
      <c r="V71" s="80"/>
      <c r="W71" s="80"/>
      <c r="X71" s="92"/>
      <c r="Y71" s="86"/>
      <c r="Z71" s="87"/>
      <c r="AA71" s="87"/>
      <c r="AB71" s="87"/>
      <c r="AC71" s="87"/>
      <c r="AD71" s="87"/>
      <c r="AE71" s="81">
        <v>36</v>
      </c>
      <c r="AM71" s="12"/>
      <c r="AN71" s="96"/>
      <c r="AO71" s="186"/>
      <c r="AP71" s="186"/>
      <c r="AQ71" s="11"/>
      <c r="AR71" s="11"/>
    </row>
    <row r="72" spans="1:44" s="4" customFormat="1" ht="37.5">
      <c r="A72" s="82">
        <v>12</v>
      </c>
      <c r="B72" s="83" t="s">
        <v>42</v>
      </c>
      <c r="C72" s="64">
        <f t="shared" ref="C72" si="13">SUM(D72:F74)</f>
        <v>72</v>
      </c>
      <c r="D72" s="65">
        <f t="shared" ref="D72" si="14">SUM(G72:X72)</f>
        <v>18</v>
      </c>
      <c r="E72" s="65"/>
      <c r="F72" s="66"/>
      <c r="G72" s="67">
        <v>2</v>
      </c>
      <c r="H72" s="68"/>
      <c r="I72" s="68">
        <v>2</v>
      </c>
      <c r="J72" s="67"/>
      <c r="K72" s="64">
        <v>2</v>
      </c>
      <c r="L72" s="65"/>
      <c r="M72" s="65">
        <v>2</v>
      </c>
      <c r="N72" s="65"/>
      <c r="O72" s="65">
        <v>2</v>
      </c>
      <c r="P72" s="65"/>
      <c r="Q72" s="64">
        <v>2</v>
      </c>
      <c r="R72" s="64"/>
      <c r="S72" s="65">
        <v>2</v>
      </c>
      <c r="T72" s="65"/>
      <c r="U72" s="65">
        <v>2</v>
      </c>
      <c r="V72" s="65"/>
      <c r="W72" s="65">
        <v>2</v>
      </c>
      <c r="X72" s="66"/>
      <c r="Y72" s="64"/>
      <c r="Z72" s="65"/>
      <c r="AA72" s="65"/>
      <c r="AB72" s="65"/>
      <c r="AC72" s="65"/>
      <c r="AD72" s="65"/>
      <c r="AE72" s="66" t="s">
        <v>26</v>
      </c>
      <c r="AM72" s="11"/>
      <c r="AN72" s="11"/>
      <c r="AO72" s="11"/>
      <c r="AP72" s="11"/>
      <c r="AQ72" s="11"/>
      <c r="AR72" s="11"/>
    </row>
    <row r="73" spans="1:44" s="4" customFormat="1">
      <c r="A73" s="84"/>
      <c r="B73" s="85"/>
      <c r="C73" s="71"/>
      <c r="D73" s="72"/>
      <c r="E73" s="72">
        <f t="shared" ref="E73" si="15">SUM(G73:X73)</f>
        <v>54</v>
      </c>
      <c r="F73" s="73"/>
      <c r="G73" s="71">
        <v>2</v>
      </c>
      <c r="H73" s="71">
        <v>4</v>
      </c>
      <c r="I73" s="71">
        <v>2</v>
      </c>
      <c r="J73" s="71">
        <v>4</v>
      </c>
      <c r="K73" s="71">
        <v>2</v>
      </c>
      <c r="L73" s="71">
        <v>4</v>
      </c>
      <c r="M73" s="71">
        <v>2</v>
      </c>
      <c r="N73" s="71">
        <v>4</v>
      </c>
      <c r="O73" s="71">
        <v>2</v>
      </c>
      <c r="P73" s="71">
        <v>4</v>
      </c>
      <c r="Q73" s="71">
        <v>2</v>
      </c>
      <c r="R73" s="71">
        <v>4</v>
      </c>
      <c r="S73" s="71">
        <v>2</v>
      </c>
      <c r="T73" s="71">
        <v>4</v>
      </c>
      <c r="U73" s="71">
        <v>2</v>
      </c>
      <c r="V73" s="71">
        <v>4</v>
      </c>
      <c r="W73" s="71">
        <v>2</v>
      </c>
      <c r="X73" s="90">
        <v>4</v>
      </c>
      <c r="Y73" s="91"/>
      <c r="Z73" s="72"/>
      <c r="AA73" s="72"/>
      <c r="AB73" s="72"/>
      <c r="AC73" s="72"/>
      <c r="AD73" s="72"/>
      <c r="AE73" s="76" t="s">
        <v>40</v>
      </c>
      <c r="AM73" s="12"/>
      <c r="AN73" s="96"/>
      <c r="AO73" s="186"/>
      <c r="AP73" s="186"/>
      <c r="AQ73" s="11"/>
      <c r="AR73" s="11"/>
    </row>
    <row r="74" spans="1:44" s="4" customFormat="1" ht="19.5" thickBot="1">
      <c r="A74" s="88"/>
      <c r="B74" s="89"/>
      <c r="C74" s="79"/>
      <c r="D74" s="80"/>
      <c r="E74" s="80"/>
      <c r="F74" s="81">
        <f t="shared" ref="F74" si="16">SUM(G74:X74)</f>
        <v>0</v>
      </c>
      <c r="G74" s="79"/>
      <c r="H74" s="80"/>
      <c r="I74" s="80"/>
      <c r="J74" s="79"/>
      <c r="K74" s="79"/>
      <c r="L74" s="80"/>
      <c r="M74" s="80"/>
      <c r="N74" s="80"/>
      <c r="O74" s="80"/>
      <c r="P74" s="80"/>
      <c r="Q74" s="79"/>
      <c r="R74" s="79"/>
      <c r="S74" s="80"/>
      <c r="T74" s="80"/>
      <c r="U74" s="80"/>
      <c r="V74" s="80"/>
      <c r="W74" s="80"/>
      <c r="X74" s="92"/>
      <c r="Y74" s="86"/>
      <c r="Z74" s="87"/>
      <c r="AA74" s="87"/>
      <c r="AB74" s="87"/>
      <c r="AC74" s="87"/>
      <c r="AD74" s="87"/>
      <c r="AE74" s="81">
        <v>36</v>
      </c>
      <c r="AM74" s="12"/>
      <c r="AN74" s="96"/>
      <c r="AO74" s="186"/>
      <c r="AP74" s="186"/>
      <c r="AQ74" s="11"/>
      <c r="AR74" s="11"/>
    </row>
    <row r="75" spans="1:44" ht="61.5" customHeight="1" thickBot="1">
      <c r="A75" s="182" t="s">
        <v>25</v>
      </c>
      <c r="B75" s="182"/>
      <c r="C75" s="182"/>
      <c r="D75" s="182"/>
      <c r="E75" s="182"/>
      <c r="F75" s="182"/>
      <c r="G75" s="182"/>
      <c r="H75" s="182"/>
      <c r="I75" s="182"/>
      <c r="J75" s="182"/>
      <c r="K75" s="182"/>
      <c r="L75" s="182"/>
      <c r="M75" s="182"/>
      <c r="N75" s="182"/>
      <c r="O75" s="182"/>
      <c r="P75" s="182"/>
      <c r="Q75" s="182"/>
      <c r="R75" s="182"/>
      <c r="S75" s="182"/>
      <c r="T75" s="182"/>
      <c r="U75" s="182"/>
      <c r="V75" s="182"/>
      <c r="W75" s="182"/>
      <c r="X75" s="182"/>
      <c r="Y75" s="182"/>
      <c r="Z75" s="182"/>
      <c r="AA75" s="182"/>
      <c r="AB75" s="182"/>
      <c r="AC75" s="182"/>
      <c r="AD75" s="182"/>
      <c r="AE75" s="182"/>
    </row>
    <row r="76" spans="1:44" s="4" customFormat="1" ht="37.5" customHeight="1" thickBot="1">
      <c r="A76" s="183" t="s">
        <v>62</v>
      </c>
      <c r="B76" s="184"/>
      <c r="C76" s="184"/>
      <c r="D76" s="184"/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7"/>
      <c r="Z76" s="184"/>
      <c r="AA76" s="184"/>
      <c r="AB76" s="184"/>
      <c r="AC76" s="184"/>
      <c r="AD76" s="184"/>
      <c r="AE76" s="185"/>
    </row>
    <row r="77" spans="1:44" s="4" customFormat="1" ht="56.25">
      <c r="A77" s="135">
        <v>12</v>
      </c>
      <c r="B77" s="136" t="s">
        <v>63</v>
      </c>
      <c r="C77" s="103">
        <f>SUM(D77:F79)</f>
        <v>14</v>
      </c>
      <c r="D77" s="104">
        <f>SUM(G77:AA77)</f>
        <v>6</v>
      </c>
      <c r="E77" s="104"/>
      <c r="F77" s="97"/>
      <c r="G77" s="167">
        <v>2</v>
      </c>
      <c r="H77" s="168"/>
      <c r="I77" s="169">
        <v>2</v>
      </c>
      <c r="J77" s="169"/>
      <c r="K77" s="169">
        <v>2</v>
      </c>
      <c r="L77" s="169"/>
      <c r="M77" s="169"/>
      <c r="N77" s="169"/>
      <c r="O77" s="104"/>
      <c r="P77" s="104"/>
      <c r="Q77" s="104"/>
      <c r="R77" s="167"/>
      <c r="S77" s="104"/>
      <c r="T77" s="104"/>
      <c r="U77" s="153"/>
      <c r="V77" s="153"/>
      <c r="W77" s="153"/>
      <c r="X77" s="170"/>
      <c r="Y77" s="153"/>
      <c r="Z77" s="152"/>
      <c r="AA77" s="97"/>
      <c r="AB77" s="103"/>
      <c r="AC77" s="104"/>
      <c r="AD77" s="97"/>
      <c r="AE77" s="171" t="s">
        <v>18</v>
      </c>
    </row>
    <row r="78" spans="1:44" s="4" customFormat="1" ht="19.5">
      <c r="A78" s="138"/>
      <c r="B78" s="139"/>
      <c r="C78" s="113"/>
      <c r="D78" s="114"/>
      <c r="E78" s="114">
        <f>SUM(G78:AA78)</f>
        <v>8</v>
      </c>
      <c r="F78" s="115"/>
      <c r="G78" s="172"/>
      <c r="H78" s="173">
        <v>2</v>
      </c>
      <c r="I78" s="172"/>
      <c r="J78" s="172">
        <v>2</v>
      </c>
      <c r="K78" s="172"/>
      <c r="L78" s="172">
        <v>2</v>
      </c>
      <c r="M78" s="172"/>
      <c r="N78" s="172">
        <v>2</v>
      </c>
      <c r="O78" s="153"/>
      <c r="P78" s="153"/>
      <c r="Q78" s="174"/>
      <c r="R78" s="114"/>
      <c r="S78" s="114"/>
      <c r="T78" s="114"/>
      <c r="U78" s="114"/>
      <c r="V78" s="153"/>
      <c r="W78" s="114"/>
      <c r="X78" s="174"/>
      <c r="Y78" s="114"/>
      <c r="Z78" s="152"/>
      <c r="AA78" s="115"/>
      <c r="AB78" s="113"/>
      <c r="AC78" s="114"/>
      <c r="AD78" s="115"/>
      <c r="AE78" s="175"/>
    </row>
    <row r="79" spans="1:44" s="4" customFormat="1" ht="38.25" thickBot="1">
      <c r="A79" s="144"/>
      <c r="B79" s="176" t="s">
        <v>64</v>
      </c>
      <c r="C79" s="125"/>
      <c r="D79" s="126"/>
      <c r="E79" s="126"/>
      <c r="F79" s="99">
        <f>SUM(G79:V79)</f>
        <v>0</v>
      </c>
      <c r="G79" s="132"/>
      <c r="H79" s="133"/>
      <c r="I79" s="132"/>
      <c r="J79" s="132"/>
      <c r="K79" s="132"/>
      <c r="L79" s="132"/>
      <c r="M79" s="132"/>
      <c r="N79" s="132"/>
      <c r="O79" s="126"/>
      <c r="P79" s="126"/>
      <c r="Q79" s="177"/>
      <c r="R79" s="126"/>
      <c r="S79" s="126"/>
      <c r="T79" s="126"/>
      <c r="U79" s="126"/>
      <c r="V79" s="178"/>
      <c r="W79" s="133"/>
      <c r="X79" s="179"/>
      <c r="Y79" s="133"/>
      <c r="Z79" s="132"/>
      <c r="AA79" s="180"/>
      <c r="AB79" s="125"/>
      <c r="AC79" s="126"/>
      <c r="AD79" s="99"/>
      <c r="AE79" s="181" t="s">
        <v>65</v>
      </c>
      <c r="AM79" s="11"/>
      <c r="AN79" s="11"/>
      <c r="AO79" s="11"/>
      <c r="AP79" s="11"/>
      <c r="AQ79" s="11"/>
      <c r="AR79" s="11"/>
    </row>
    <row r="80" spans="1:44" ht="19.5" thickBot="1">
      <c r="A80" s="183" t="s">
        <v>27</v>
      </c>
      <c r="B80" s="184"/>
      <c r="C80" s="184"/>
      <c r="D80" s="184"/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5"/>
    </row>
    <row r="81" spans="1:44" s="4" customFormat="1" ht="56.25">
      <c r="A81" s="82">
        <v>12</v>
      </c>
      <c r="B81" s="83" t="s">
        <v>43</v>
      </c>
      <c r="C81" s="64">
        <f t="shared" ref="C81" si="17">SUM(D81:F83)</f>
        <v>42</v>
      </c>
      <c r="D81" s="65">
        <f t="shared" ref="D81" si="18">SUM(G81:AD81)</f>
        <v>14</v>
      </c>
      <c r="E81" s="65"/>
      <c r="F81" s="66"/>
      <c r="G81" s="67">
        <v>2</v>
      </c>
      <c r="H81" s="68"/>
      <c r="I81" s="68">
        <v>2</v>
      </c>
      <c r="J81" s="67"/>
      <c r="K81" s="64">
        <v>2</v>
      </c>
      <c r="L81" s="65"/>
      <c r="M81" s="65">
        <v>2</v>
      </c>
      <c r="N81" s="65"/>
      <c r="O81" s="65">
        <v>2</v>
      </c>
      <c r="P81" s="65"/>
      <c r="Q81" s="64">
        <v>2</v>
      </c>
      <c r="R81" s="64"/>
      <c r="S81" s="65">
        <v>2</v>
      </c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6" t="s">
        <v>15</v>
      </c>
      <c r="AM81" s="11"/>
      <c r="AN81" s="11"/>
      <c r="AO81" s="11"/>
      <c r="AP81" s="11"/>
      <c r="AQ81" s="11"/>
      <c r="AR81" s="11"/>
    </row>
    <row r="82" spans="1:44" s="4" customFormat="1">
      <c r="A82" s="84"/>
      <c r="B82" s="85"/>
      <c r="C82" s="71"/>
      <c r="D82" s="72"/>
      <c r="E82" s="72">
        <f t="shared" ref="E82" si="19">SUM(G82:AD82)</f>
        <v>28</v>
      </c>
      <c r="F82" s="73"/>
      <c r="G82" s="98">
        <v>2</v>
      </c>
      <c r="H82" s="98">
        <v>2</v>
      </c>
      <c r="I82" s="98">
        <v>2</v>
      </c>
      <c r="J82" s="98">
        <v>2</v>
      </c>
      <c r="K82" s="98">
        <v>2</v>
      </c>
      <c r="L82" s="98">
        <v>2</v>
      </c>
      <c r="M82" s="98">
        <v>2</v>
      </c>
      <c r="N82" s="98">
        <v>2</v>
      </c>
      <c r="O82" s="98">
        <v>2</v>
      </c>
      <c r="P82" s="98">
        <v>2</v>
      </c>
      <c r="Q82" s="98">
        <v>2</v>
      </c>
      <c r="R82" s="98">
        <v>2</v>
      </c>
      <c r="S82" s="98">
        <v>2</v>
      </c>
      <c r="T82" s="98">
        <v>2</v>
      </c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6"/>
      <c r="AM82" s="12"/>
      <c r="AN82" s="96"/>
      <c r="AO82" s="186"/>
      <c r="AP82" s="186"/>
      <c r="AQ82" s="11"/>
      <c r="AR82" s="11"/>
    </row>
    <row r="83" spans="1:44" s="4" customFormat="1" ht="19.5" thickBot="1">
      <c r="A83" s="84"/>
      <c r="B83" s="85"/>
      <c r="C83" s="79"/>
      <c r="D83" s="80"/>
      <c r="E83" s="80"/>
      <c r="F83" s="81">
        <f t="shared" ref="F83" si="20">SUM(G83:AD83)</f>
        <v>0</v>
      </c>
      <c r="G83" s="86"/>
      <c r="H83" s="87"/>
      <c r="I83" s="86"/>
      <c r="J83" s="86"/>
      <c r="K83" s="86"/>
      <c r="L83" s="72"/>
      <c r="M83" s="72"/>
      <c r="N83" s="72"/>
      <c r="O83" s="72"/>
      <c r="P83" s="72"/>
      <c r="Q83" s="71"/>
      <c r="R83" s="71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81">
        <v>18</v>
      </c>
      <c r="AM83" s="12"/>
      <c r="AN83" s="96"/>
      <c r="AO83" s="186"/>
      <c r="AP83" s="186"/>
      <c r="AQ83" s="11"/>
      <c r="AR83" s="11"/>
    </row>
    <row r="84" spans="1:44" s="4" customFormat="1" ht="37.5">
      <c r="A84" s="62">
        <v>12</v>
      </c>
      <c r="B84" s="63" t="s">
        <v>44</v>
      </c>
      <c r="C84" s="64">
        <f t="shared" ref="C84" si="21">SUM(D84:F86)</f>
        <v>70</v>
      </c>
      <c r="D84" s="65">
        <f t="shared" ref="D84" si="22">SUM(G84:AD84)</f>
        <v>28</v>
      </c>
      <c r="E84" s="65"/>
      <c r="F84" s="66"/>
      <c r="G84" s="67">
        <v>2</v>
      </c>
      <c r="H84" s="67">
        <v>2</v>
      </c>
      <c r="I84" s="67">
        <v>2</v>
      </c>
      <c r="J84" s="67">
        <v>2</v>
      </c>
      <c r="K84" s="65">
        <v>2</v>
      </c>
      <c r="L84" s="64">
        <v>2</v>
      </c>
      <c r="M84" s="64">
        <v>2</v>
      </c>
      <c r="N84" s="64">
        <v>2</v>
      </c>
      <c r="O84" s="64">
        <v>2</v>
      </c>
      <c r="P84" s="64">
        <v>2</v>
      </c>
      <c r="Q84" s="67">
        <v>2</v>
      </c>
      <c r="R84" s="67">
        <v>2</v>
      </c>
      <c r="S84" s="67">
        <v>2</v>
      </c>
      <c r="T84" s="67">
        <v>2</v>
      </c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6" t="s">
        <v>15</v>
      </c>
    </row>
    <row r="85" spans="1:44" s="4" customFormat="1" ht="19.5">
      <c r="A85" s="69"/>
      <c r="B85" s="70"/>
      <c r="C85" s="71"/>
      <c r="D85" s="72"/>
      <c r="E85" s="72">
        <f t="shared" ref="E85" si="23">SUM(G85:AD85)</f>
        <v>42</v>
      </c>
      <c r="F85" s="73"/>
      <c r="G85" s="71">
        <v>2</v>
      </c>
      <c r="H85" s="72">
        <v>4</v>
      </c>
      <c r="I85" s="72">
        <v>2</v>
      </c>
      <c r="J85" s="71">
        <v>4</v>
      </c>
      <c r="K85" s="74">
        <v>2</v>
      </c>
      <c r="L85" s="75">
        <v>4</v>
      </c>
      <c r="M85" s="75">
        <v>2</v>
      </c>
      <c r="N85" s="75">
        <v>4</v>
      </c>
      <c r="O85" s="75">
        <v>2</v>
      </c>
      <c r="P85" s="75">
        <v>4</v>
      </c>
      <c r="Q85" s="71">
        <v>2</v>
      </c>
      <c r="R85" s="71">
        <v>4</v>
      </c>
      <c r="S85" s="72">
        <v>2</v>
      </c>
      <c r="T85" s="72">
        <v>4</v>
      </c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6"/>
    </row>
    <row r="86" spans="1:44" s="4" customFormat="1" ht="21.75" customHeight="1" thickBot="1">
      <c r="A86" s="77"/>
      <c r="B86" s="78"/>
      <c r="C86" s="79"/>
      <c r="D86" s="80"/>
      <c r="E86" s="80"/>
      <c r="F86" s="81">
        <f t="shared" ref="F86" si="24">SUM(G86:AD86)</f>
        <v>0</v>
      </c>
      <c r="G86" s="79"/>
      <c r="H86" s="80"/>
      <c r="I86" s="80"/>
      <c r="J86" s="79"/>
      <c r="K86" s="79"/>
      <c r="L86" s="80"/>
      <c r="M86" s="80"/>
      <c r="N86" s="80"/>
      <c r="O86" s="80"/>
      <c r="P86" s="80"/>
      <c r="Q86" s="79"/>
      <c r="R86" s="79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1">
        <v>18</v>
      </c>
      <c r="AM86" s="11"/>
      <c r="AN86" s="11"/>
      <c r="AO86" s="11"/>
      <c r="AP86" s="11"/>
      <c r="AQ86" s="11"/>
      <c r="AR86" s="11"/>
    </row>
    <row r="87" spans="1:44" s="4" customFormat="1" ht="56.25">
      <c r="A87" s="82">
        <v>12</v>
      </c>
      <c r="B87" s="83" t="s">
        <v>45</v>
      </c>
      <c r="C87" s="64">
        <f t="shared" ref="C87" si="25">SUM(D87:F89)</f>
        <v>56</v>
      </c>
      <c r="D87" s="65">
        <f t="shared" ref="D87" si="26">SUM(G87:AD87)</f>
        <v>28</v>
      </c>
      <c r="E87" s="65"/>
      <c r="F87" s="66"/>
      <c r="G87" s="64">
        <v>2</v>
      </c>
      <c r="H87" s="64">
        <v>2</v>
      </c>
      <c r="I87" s="64">
        <v>2</v>
      </c>
      <c r="J87" s="64">
        <v>2</v>
      </c>
      <c r="K87" s="64">
        <v>2</v>
      </c>
      <c r="L87" s="64">
        <v>2</v>
      </c>
      <c r="M87" s="64">
        <v>2</v>
      </c>
      <c r="N87" s="64">
        <v>2</v>
      </c>
      <c r="O87" s="64">
        <v>2</v>
      </c>
      <c r="P87" s="64">
        <v>2</v>
      </c>
      <c r="Q87" s="64">
        <v>2</v>
      </c>
      <c r="R87" s="64">
        <v>2</v>
      </c>
      <c r="S87" s="64">
        <v>2</v>
      </c>
      <c r="T87" s="64">
        <v>2</v>
      </c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6" t="s">
        <v>26</v>
      </c>
      <c r="AM87" s="11"/>
      <c r="AN87" s="11"/>
      <c r="AO87" s="11"/>
      <c r="AP87" s="11"/>
      <c r="AQ87" s="11"/>
      <c r="AR87" s="11"/>
    </row>
    <row r="88" spans="1:44" s="4" customFormat="1">
      <c r="A88" s="84"/>
      <c r="B88" s="85"/>
      <c r="C88" s="71"/>
      <c r="D88" s="72"/>
      <c r="E88" s="72">
        <f t="shared" ref="E88" si="27">SUM(G88:AD88)</f>
        <v>28</v>
      </c>
      <c r="F88" s="73"/>
      <c r="G88" s="71">
        <v>2</v>
      </c>
      <c r="H88" s="71">
        <v>2</v>
      </c>
      <c r="I88" s="71">
        <v>2</v>
      </c>
      <c r="J88" s="71">
        <v>2</v>
      </c>
      <c r="K88" s="71">
        <v>2</v>
      </c>
      <c r="L88" s="71">
        <v>2</v>
      </c>
      <c r="M88" s="71">
        <v>2</v>
      </c>
      <c r="N88" s="71">
        <v>2</v>
      </c>
      <c r="O88" s="71">
        <v>2</v>
      </c>
      <c r="P88" s="71">
        <v>2</v>
      </c>
      <c r="Q88" s="71">
        <v>2</v>
      </c>
      <c r="R88" s="71">
        <v>2</v>
      </c>
      <c r="S88" s="71">
        <v>2</v>
      </c>
      <c r="T88" s="71">
        <v>2</v>
      </c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6"/>
      <c r="AM88" s="12"/>
      <c r="AN88" s="96"/>
      <c r="AO88" s="186"/>
      <c r="AP88" s="186"/>
      <c r="AQ88" s="11"/>
      <c r="AR88" s="11"/>
    </row>
    <row r="89" spans="1:44" s="4" customFormat="1" ht="19.5" thickBot="1">
      <c r="A89" s="88"/>
      <c r="B89" s="89"/>
      <c r="C89" s="79"/>
      <c r="D89" s="80"/>
      <c r="E89" s="80"/>
      <c r="F89" s="81">
        <f t="shared" ref="F89" si="28">SUM(G89:AD89)</f>
        <v>0</v>
      </c>
      <c r="G89" s="79"/>
      <c r="H89" s="80"/>
      <c r="I89" s="80"/>
      <c r="J89" s="79"/>
      <c r="K89" s="86"/>
      <c r="L89" s="87"/>
      <c r="M89" s="87"/>
      <c r="N89" s="87"/>
      <c r="O89" s="87"/>
      <c r="P89" s="87"/>
      <c r="Q89" s="86"/>
      <c r="R89" s="86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1">
        <v>36</v>
      </c>
      <c r="AM89" s="12"/>
      <c r="AN89" s="96"/>
      <c r="AO89" s="186"/>
      <c r="AP89" s="186"/>
      <c r="AQ89" s="11"/>
      <c r="AR89" s="11"/>
    </row>
    <row r="90" spans="1:44" s="4" customFormat="1" ht="37.5">
      <c r="A90" s="82">
        <v>12</v>
      </c>
      <c r="B90" s="83" t="s">
        <v>46</v>
      </c>
      <c r="C90" s="64">
        <f t="shared" ref="C90" si="29">SUM(D90:F92)</f>
        <v>56</v>
      </c>
      <c r="D90" s="65">
        <f t="shared" ref="D90" si="30">SUM(G90:AD90)</f>
        <v>28</v>
      </c>
      <c r="E90" s="65"/>
      <c r="F90" s="66"/>
      <c r="G90" s="64">
        <v>2</v>
      </c>
      <c r="H90" s="64">
        <v>2</v>
      </c>
      <c r="I90" s="64">
        <v>2</v>
      </c>
      <c r="J90" s="64">
        <v>2</v>
      </c>
      <c r="K90" s="64">
        <v>2</v>
      </c>
      <c r="L90" s="64">
        <v>2</v>
      </c>
      <c r="M90" s="64">
        <v>2</v>
      </c>
      <c r="N90" s="64">
        <v>2</v>
      </c>
      <c r="O90" s="64">
        <v>2</v>
      </c>
      <c r="P90" s="64">
        <v>2</v>
      </c>
      <c r="Q90" s="64">
        <v>2</v>
      </c>
      <c r="R90" s="64">
        <v>2</v>
      </c>
      <c r="S90" s="64">
        <v>2</v>
      </c>
      <c r="T90" s="64">
        <v>2</v>
      </c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6" t="s">
        <v>26</v>
      </c>
      <c r="AM90" s="11"/>
      <c r="AN90" s="11"/>
      <c r="AO90" s="11"/>
      <c r="AP90" s="11"/>
      <c r="AQ90" s="11"/>
      <c r="AR90" s="11"/>
    </row>
    <row r="91" spans="1:44" s="4" customFormat="1">
      <c r="A91" s="84"/>
      <c r="B91" s="85"/>
      <c r="C91" s="71"/>
      <c r="D91" s="72"/>
      <c r="E91" s="72">
        <f t="shared" ref="E91" si="31">SUM(G91:AD91)</f>
        <v>28</v>
      </c>
      <c r="F91" s="73"/>
      <c r="G91" s="71">
        <v>2</v>
      </c>
      <c r="H91" s="71">
        <v>2</v>
      </c>
      <c r="I91" s="71">
        <v>2</v>
      </c>
      <c r="J91" s="71">
        <v>2</v>
      </c>
      <c r="K91" s="71">
        <v>2</v>
      </c>
      <c r="L91" s="71">
        <v>2</v>
      </c>
      <c r="M91" s="71">
        <v>2</v>
      </c>
      <c r="N91" s="71">
        <v>2</v>
      </c>
      <c r="O91" s="71">
        <v>2</v>
      </c>
      <c r="P91" s="71">
        <v>2</v>
      </c>
      <c r="Q91" s="71">
        <v>2</v>
      </c>
      <c r="R91" s="71">
        <v>2</v>
      </c>
      <c r="S91" s="71">
        <v>2</v>
      </c>
      <c r="T91" s="71">
        <v>2</v>
      </c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6"/>
      <c r="AM91" s="12"/>
      <c r="AN91" s="96"/>
      <c r="AO91" s="186"/>
      <c r="AP91" s="186"/>
      <c r="AQ91" s="11"/>
      <c r="AR91" s="11"/>
    </row>
    <row r="92" spans="1:44" s="4" customFormat="1" ht="19.5" thickBot="1">
      <c r="A92" s="88"/>
      <c r="B92" s="89"/>
      <c r="C92" s="79"/>
      <c r="D92" s="80"/>
      <c r="E92" s="80"/>
      <c r="F92" s="81">
        <f t="shared" ref="F92" si="32">SUM(G92:AD92)</f>
        <v>0</v>
      </c>
      <c r="G92" s="79"/>
      <c r="H92" s="80"/>
      <c r="I92" s="80"/>
      <c r="J92" s="79"/>
      <c r="K92" s="79"/>
      <c r="L92" s="80"/>
      <c r="M92" s="80"/>
      <c r="N92" s="80"/>
      <c r="O92" s="80"/>
      <c r="P92" s="80"/>
      <c r="Q92" s="86"/>
      <c r="R92" s="86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1">
        <v>36</v>
      </c>
      <c r="AM92" s="12"/>
      <c r="AN92" s="96"/>
      <c r="AO92" s="186"/>
      <c r="AP92" s="186"/>
      <c r="AQ92" s="11"/>
      <c r="AR92" s="11"/>
    </row>
    <row r="93" spans="1:44" ht="19.5" thickBot="1">
      <c r="A93" s="183" t="s">
        <v>47</v>
      </c>
      <c r="B93" s="184"/>
      <c r="C93" s="184"/>
      <c r="D93" s="184"/>
      <c r="E93" s="184"/>
      <c r="F93" s="184"/>
      <c r="G93" s="184"/>
      <c r="H93" s="184"/>
      <c r="I93" s="184"/>
      <c r="J93" s="184"/>
      <c r="K93" s="184"/>
      <c r="L93" s="184"/>
      <c r="M93" s="184"/>
      <c r="N93" s="184"/>
      <c r="O93" s="184"/>
      <c r="P93" s="184"/>
      <c r="Q93" s="184"/>
      <c r="R93" s="184"/>
      <c r="S93" s="184"/>
      <c r="T93" s="184"/>
      <c r="U93" s="184"/>
      <c r="V93" s="184"/>
      <c r="W93" s="184"/>
      <c r="X93" s="184"/>
      <c r="Y93" s="184"/>
      <c r="Z93" s="184"/>
      <c r="AA93" s="184"/>
      <c r="AB93" s="184"/>
      <c r="AC93" s="184"/>
      <c r="AD93" s="184"/>
      <c r="AE93" s="185"/>
    </row>
    <row r="94" spans="1:44" s="4" customFormat="1" ht="37.5">
      <c r="A94" s="62">
        <v>12</v>
      </c>
      <c r="B94" s="63" t="s">
        <v>36</v>
      </c>
      <c r="C94" s="64">
        <f>SUM(D94:F96)</f>
        <v>32</v>
      </c>
      <c r="D94" s="65">
        <f>SUM(G94:AD94)</f>
        <v>16</v>
      </c>
      <c r="E94" s="65"/>
      <c r="F94" s="66"/>
      <c r="G94" s="67">
        <v>2</v>
      </c>
      <c r="H94" s="67">
        <v>2</v>
      </c>
      <c r="I94" s="67">
        <v>2</v>
      </c>
      <c r="J94" s="67">
        <v>2</v>
      </c>
      <c r="K94" s="67">
        <v>2</v>
      </c>
      <c r="L94" s="67">
        <v>2</v>
      </c>
      <c r="M94" s="67">
        <v>2</v>
      </c>
      <c r="N94" s="67">
        <v>2</v>
      </c>
      <c r="O94" s="97"/>
      <c r="P94" s="64"/>
      <c r="Q94" s="64"/>
      <c r="R94" s="64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6" t="s">
        <v>22</v>
      </c>
    </row>
    <row r="95" spans="1:44" s="4" customFormat="1" ht="19.5">
      <c r="A95" s="69"/>
      <c r="B95" s="70"/>
      <c r="C95" s="71"/>
      <c r="D95" s="72"/>
      <c r="E95" s="72">
        <f>SUM(G95:AD95)</f>
        <v>16</v>
      </c>
      <c r="F95" s="73"/>
      <c r="G95" s="71"/>
      <c r="H95" s="71">
        <v>4</v>
      </c>
      <c r="I95" s="71"/>
      <c r="J95" s="71">
        <v>4</v>
      </c>
      <c r="K95" s="71"/>
      <c r="L95" s="71">
        <v>4</v>
      </c>
      <c r="M95" s="71"/>
      <c r="N95" s="71">
        <v>2</v>
      </c>
      <c r="O95" s="101">
        <v>2</v>
      </c>
      <c r="P95" s="74"/>
      <c r="Q95" s="71"/>
      <c r="R95" s="71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6"/>
    </row>
    <row r="96" spans="1:44" s="4" customFormat="1" ht="21.75" customHeight="1" thickBot="1">
      <c r="A96" s="77"/>
      <c r="B96" s="78"/>
      <c r="C96" s="79"/>
      <c r="D96" s="80"/>
      <c r="E96" s="80"/>
      <c r="F96" s="81">
        <f>SUM(G96:AD96)</f>
        <v>0</v>
      </c>
      <c r="G96" s="79"/>
      <c r="H96" s="80"/>
      <c r="I96" s="80"/>
      <c r="J96" s="79"/>
      <c r="K96" s="79"/>
      <c r="L96" s="80"/>
      <c r="M96" s="80"/>
      <c r="N96" s="80"/>
      <c r="O96" s="99"/>
      <c r="P96" s="79"/>
      <c r="Q96" s="79"/>
      <c r="R96" s="79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1">
        <v>18</v>
      </c>
      <c r="AM96" s="11"/>
      <c r="AN96" s="11"/>
      <c r="AO96" s="11"/>
      <c r="AP96" s="11"/>
      <c r="AQ96" s="11"/>
      <c r="AR96" s="11"/>
    </row>
    <row r="97" spans="1:44" ht="19.5" customHeight="1" thickBot="1">
      <c r="A97" s="182" t="s">
        <v>48</v>
      </c>
      <c r="B97" s="182"/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S97" s="182"/>
      <c r="T97" s="182"/>
      <c r="U97" s="182"/>
      <c r="V97" s="182"/>
      <c r="W97" s="182"/>
      <c r="X97" s="182"/>
      <c r="Y97" s="182"/>
      <c r="Z97" s="182"/>
      <c r="AA97" s="182"/>
      <c r="AB97" s="182"/>
      <c r="AC97" s="182"/>
      <c r="AD97" s="182"/>
      <c r="AE97" s="182"/>
    </row>
    <row r="98" spans="1:44" ht="19.5" thickBot="1">
      <c r="A98" s="183" t="s">
        <v>53</v>
      </c>
      <c r="B98" s="184"/>
      <c r="C98" s="184"/>
      <c r="D98" s="184"/>
      <c r="E98" s="184"/>
      <c r="F98" s="184"/>
      <c r="G98" s="184"/>
      <c r="H98" s="184"/>
      <c r="I98" s="184"/>
      <c r="J98" s="184"/>
      <c r="K98" s="184"/>
      <c r="L98" s="184"/>
      <c r="M98" s="184"/>
      <c r="N98" s="184"/>
      <c r="O98" s="184"/>
      <c r="P98" s="184"/>
      <c r="Q98" s="184"/>
      <c r="R98" s="184"/>
      <c r="S98" s="184"/>
      <c r="T98" s="184"/>
      <c r="U98" s="184"/>
      <c r="V98" s="184"/>
      <c r="W98" s="184"/>
      <c r="X98" s="184"/>
      <c r="Y98" s="184"/>
      <c r="Z98" s="184"/>
      <c r="AA98" s="184"/>
      <c r="AB98" s="184"/>
      <c r="AC98" s="184"/>
      <c r="AD98" s="184"/>
      <c r="AE98" s="185"/>
    </row>
    <row r="99" spans="1:44" s="4" customFormat="1" ht="75">
      <c r="A99" s="62">
        <v>12</v>
      </c>
      <c r="B99" s="63" t="s">
        <v>49</v>
      </c>
      <c r="C99" s="64">
        <f>SUM(D99:F101)</f>
        <v>36</v>
      </c>
      <c r="D99" s="65">
        <f>SUM(G99:L99)</f>
        <v>12</v>
      </c>
      <c r="E99" s="65"/>
      <c r="F99" s="66"/>
      <c r="G99" s="67">
        <v>2</v>
      </c>
      <c r="H99" s="68">
        <v>2</v>
      </c>
      <c r="I99" s="68">
        <v>2</v>
      </c>
      <c r="J99" s="67">
        <v>2</v>
      </c>
      <c r="K99" s="64">
        <v>2</v>
      </c>
      <c r="L99" s="65">
        <v>2</v>
      </c>
      <c r="M99" s="65"/>
      <c r="N99" s="65"/>
      <c r="O99" s="65"/>
      <c r="P99" s="65"/>
      <c r="Q99" s="64"/>
      <c r="R99" s="64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6" t="s">
        <v>18</v>
      </c>
    </row>
    <row r="100" spans="1:44" s="4" customFormat="1" ht="19.5">
      <c r="A100" s="69"/>
      <c r="B100" s="70"/>
      <c r="C100" s="71"/>
      <c r="D100" s="72"/>
      <c r="E100" s="72">
        <f>SUM(G100:L100)</f>
        <v>24</v>
      </c>
      <c r="F100" s="73"/>
      <c r="G100" s="71">
        <v>4</v>
      </c>
      <c r="H100" s="71">
        <v>4</v>
      </c>
      <c r="I100" s="71">
        <v>4</v>
      </c>
      <c r="J100" s="71">
        <v>4</v>
      </c>
      <c r="K100" s="71">
        <v>4</v>
      </c>
      <c r="L100" s="71">
        <v>4</v>
      </c>
      <c r="M100" s="75"/>
      <c r="N100" s="75"/>
      <c r="O100" s="75"/>
      <c r="P100" s="75"/>
      <c r="Q100" s="71"/>
      <c r="R100" s="71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6"/>
    </row>
    <row r="101" spans="1:44" s="4" customFormat="1" ht="21.75" customHeight="1" thickBot="1">
      <c r="A101" s="77"/>
      <c r="B101" s="78"/>
      <c r="C101" s="79"/>
      <c r="D101" s="80"/>
      <c r="E101" s="80"/>
      <c r="F101" s="81">
        <f>SUM(G101:L101)</f>
        <v>0</v>
      </c>
      <c r="G101" s="79"/>
      <c r="H101" s="80"/>
      <c r="I101" s="80"/>
      <c r="J101" s="79"/>
      <c r="K101" s="79"/>
      <c r="L101" s="80"/>
      <c r="M101" s="80"/>
      <c r="N101" s="80"/>
      <c r="O101" s="80"/>
      <c r="P101" s="80"/>
      <c r="Q101" s="79"/>
      <c r="R101" s="79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1">
        <v>18</v>
      </c>
      <c r="AM101" s="11"/>
      <c r="AN101" s="11"/>
      <c r="AO101" s="11"/>
      <c r="AP101" s="11"/>
      <c r="AQ101" s="11"/>
      <c r="AR101" s="11"/>
    </row>
    <row r="102" spans="1:44" s="4" customFormat="1" ht="93.75">
      <c r="A102" s="82">
        <v>12</v>
      </c>
      <c r="B102" s="83" t="s">
        <v>50</v>
      </c>
      <c r="C102" s="64">
        <f t="shared" ref="C102" si="33">SUM(D102:F104)</f>
        <v>54</v>
      </c>
      <c r="D102" s="65">
        <f t="shared" ref="D102" si="34">SUM(G102:L102)</f>
        <v>24</v>
      </c>
      <c r="E102" s="65"/>
      <c r="F102" s="66"/>
      <c r="G102" s="67">
        <v>4</v>
      </c>
      <c r="H102" s="67">
        <v>4</v>
      </c>
      <c r="I102" s="67">
        <v>4</v>
      </c>
      <c r="J102" s="67">
        <v>4</v>
      </c>
      <c r="K102" s="67">
        <v>4</v>
      </c>
      <c r="L102" s="67">
        <v>4</v>
      </c>
      <c r="M102" s="65"/>
      <c r="N102" s="65"/>
      <c r="O102" s="65"/>
      <c r="P102" s="65"/>
      <c r="Q102" s="64"/>
      <c r="R102" s="64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6" t="s">
        <v>26</v>
      </c>
      <c r="AM102" s="11"/>
      <c r="AN102" s="11"/>
      <c r="AO102" s="11"/>
      <c r="AP102" s="11"/>
      <c r="AQ102" s="11"/>
      <c r="AR102" s="11"/>
    </row>
    <row r="103" spans="1:44" s="4" customFormat="1">
      <c r="A103" s="84"/>
      <c r="B103" s="85"/>
      <c r="C103" s="71"/>
      <c r="D103" s="72"/>
      <c r="E103" s="72">
        <f t="shared" ref="E103" si="35">SUM(G103:L103)</f>
        <v>30</v>
      </c>
      <c r="F103" s="73"/>
      <c r="G103" s="98">
        <v>4</v>
      </c>
      <c r="H103" s="72">
        <v>6</v>
      </c>
      <c r="I103" s="71">
        <v>4</v>
      </c>
      <c r="J103" s="72">
        <v>6</v>
      </c>
      <c r="K103" s="71">
        <v>4</v>
      </c>
      <c r="L103" s="72">
        <v>6</v>
      </c>
      <c r="M103" s="72"/>
      <c r="N103" s="72"/>
      <c r="O103" s="72"/>
      <c r="P103" s="72"/>
      <c r="Q103" s="71"/>
      <c r="R103" s="71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6"/>
      <c r="AM103" s="12"/>
      <c r="AN103" s="96"/>
      <c r="AO103" s="186"/>
      <c r="AP103" s="186"/>
      <c r="AQ103" s="11"/>
      <c r="AR103" s="11"/>
    </row>
    <row r="104" spans="1:44" s="4" customFormat="1" ht="19.5" thickBot="1">
      <c r="A104" s="84"/>
      <c r="B104" s="85"/>
      <c r="C104" s="79"/>
      <c r="D104" s="80"/>
      <c r="E104" s="80"/>
      <c r="F104" s="81">
        <f t="shared" ref="F104" si="36">SUM(G104:L104)</f>
        <v>0</v>
      </c>
      <c r="G104" s="86"/>
      <c r="H104" s="87"/>
      <c r="I104" s="86"/>
      <c r="J104" s="79"/>
      <c r="K104" s="86"/>
      <c r="L104" s="72"/>
      <c r="M104" s="72"/>
      <c r="N104" s="72"/>
      <c r="O104" s="72"/>
      <c r="P104" s="72"/>
      <c r="Q104" s="71"/>
      <c r="R104" s="71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81">
        <v>36</v>
      </c>
      <c r="AM104" s="12"/>
      <c r="AN104" s="96"/>
      <c r="AO104" s="186"/>
      <c r="AP104" s="186"/>
      <c r="AQ104" s="11"/>
      <c r="AR104" s="11"/>
    </row>
    <row r="105" spans="1:44" s="4" customFormat="1" ht="112.5">
      <c r="A105" s="62">
        <v>12</v>
      </c>
      <c r="B105" s="63" t="s">
        <v>51</v>
      </c>
      <c r="C105" s="64">
        <f t="shared" ref="C105" si="37">SUM(D105:F107)</f>
        <v>54</v>
      </c>
      <c r="D105" s="65">
        <f t="shared" ref="D105" si="38">SUM(G105:L105)</f>
        <v>24</v>
      </c>
      <c r="E105" s="65"/>
      <c r="F105" s="66"/>
      <c r="G105" s="67">
        <v>4</v>
      </c>
      <c r="H105" s="67">
        <v>4</v>
      </c>
      <c r="I105" s="67">
        <v>4</v>
      </c>
      <c r="J105" s="67">
        <v>4</v>
      </c>
      <c r="K105" s="67">
        <v>4</v>
      </c>
      <c r="L105" s="67">
        <v>4</v>
      </c>
      <c r="M105" s="65"/>
      <c r="N105" s="65"/>
      <c r="O105" s="65"/>
      <c r="P105" s="65"/>
      <c r="Q105" s="64"/>
      <c r="R105" s="64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6" t="s">
        <v>26</v>
      </c>
    </row>
    <row r="106" spans="1:44" s="4" customFormat="1" ht="19.5">
      <c r="A106" s="69"/>
      <c r="B106" s="70"/>
      <c r="C106" s="71"/>
      <c r="D106" s="72"/>
      <c r="E106" s="72">
        <f t="shared" ref="E106" si="39">SUM(G106:L106)</f>
        <v>30</v>
      </c>
      <c r="F106" s="73"/>
      <c r="G106" s="98">
        <v>4</v>
      </c>
      <c r="H106" s="72">
        <v>6</v>
      </c>
      <c r="I106" s="71">
        <v>4</v>
      </c>
      <c r="J106" s="72">
        <v>6</v>
      </c>
      <c r="K106" s="71">
        <v>4</v>
      </c>
      <c r="L106" s="72">
        <v>6</v>
      </c>
      <c r="M106" s="75"/>
      <c r="N106" s="75"/>
      <c r="O106" s="75"/>
      <c r="P106" s="75"/>
      <c r="Q106" s="71"/>
      <c r="R106" s="71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6"/>
    </row>
    <row r="107" spans="1:44" s="4" customFormat="1" ht="21.75" customHeight="1" thickBot="1">
      <c r="A107" s="77"/>
      <c r="B107" s="78"/>
      <c r="C107" s="79"/>
      <c r="D107" s="80"/>
      <c r="E107" s="80"/>
      <c r="F107" s="81">
        <f t="shared" ref="F107" si="40">SUM(G107:L107)</f>
        <v>0</v>
      </c>
      <c r="G107" s="86"/>
      <c r="H107" s="87"/>
      <c r="I107" s="86"/>
      <c r="J107" s="79"/>
      <c r="K107" s="86"/>
      <c r="L107" s="72"/>
      <c r="M107" s="80"/>
      <c r="N107" s="80"/>
      <c r="O107" s="80"/>
      <c r="P107" s="80"/>
      <c r="Q107" s="79"/>
      <c r="R107" s="79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1">
        <v>36</v>
      </c>
      <c r="AM107" s="11"/>
      <c r="AN107" s="11"/>
      <c r="AO107" s="11"/>
      <c r="AP107" s="11"/>
      <c r="AQ107" s="11"/>
      <c r="AR107" s="11"/>
    </row>
    <row r="108" spans="1:44" s="4" customFormat="1" ht="93.75">
      <c r="A108" s="82">
        <v>12</v>
      </c>
      <c r="B108" s="83" t="s">
        <v>52</v>
      </c>
      <c r="C108" s="64">
        <f t="shared" ref="C108" si="41">SUM(D108:F110)</f>
        <v>36</v>
      </c>
      <c r="D108" s="65">
        <f t="shared" ref="D108" si="42">SUM(G108:L108)</f>
        <v>12</v>
      </c>
      <c r="E108" s="65"/>
      <c r="F108" s="66"/>
      <c r="G108" s="67">
        <v>2</v>
      </c>
      <c r="H108" s="68">
        <v>2</v>
      </c>
      <c r="I108" s="68">
        <v>2</v>
      </c>
      <c r="J108" s="67">
        <v>2</v>
      </c>
      <c r="K108" s="64">
        <v>2</v>
      </c>
      <c r="L108" s="65">
        <v>2</v>
      </c>
      <c r="M108" s="65"/>
      <c r="N108" s="65"/>
      <c r="O108" s="65"/>
      <c r="P108" s="65"/>
      <c r="Q108" s="64"/>
      <c r="R108" s="64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6" t="s">
        <v>18</v>
      </c>
      <c r="AM108" s="11"/>
      <c r="AN108" s="11"/>
      <c r="AO108" s="11"/>
      <c r="AP108" s="11"/>
      <c r="AQ108" s="11"/>
      <c r="AR108" s="11"/>
    </row>
    <row r="109" spans="1:44" s="4" customFormat="1">
      <c r="A109" s="84"/>
      <c r="B109" s="85"/>
      <c r="C109" s="71"/>
      <c r="D109" s="72"/>
      <c r="E109" s="72">
        <f t="shared" ref="E109" si="43">SUM(G109:L109)</f>
        <v>24</v>
      </c>
      <c r="F109" s="73"/>
      <c r="G109" s="71">
        <v>4</v>
      </c>
      <c r="H109" s="71">
        <v>4</v>
      </c>
      <c r="I109" s="71">
        <v>4</v>
      </c>
      <c r="J109" s="71">
        <v>4</v>
      </c>
      <c r="K109" s="71">
        <v>4</v>
      </c>
      <c r="L109" s="71">
        <v>4</v>
      </c>
      <c r="M109" s="72"/>
      <c r="N109" s="72"/>
      <c r="O109" s="72"/>
      <c r="P109" s="72"/>
      <c r="Q109" s="71"/>
      <c r="R109" s="71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6"/>
      <c r="AM109" s="12"/>
      <c r="AN109" s="96"/>
      <c r="AO109" s="186"/>
      <c r="AP109" s="186"/>
      <c r="AQ109" s="11"/>
      <c r="AR109" s="11"/>
    </row>
    <row r="110" spans="1:44" s="4" customFormat="1" ht="19.5" thickBot="1">
      <c r="A110" s="88"/>
      <c r="B110" s="89"/>
      <c r="C110" s="79"/>
      <c r="D110" s="80"/>
      <c r="E110" s="80"/>
      <c r="F110" s="81">
        <f t="shared" ref="F110" si="44">SUM(G110:L110)</f>
        <v>0</v>
      </c>
      <c r="G110" s="79"/>
      <c r="H110" s="80"/>
      <c r="I110" s="80"/>
      <c r="J110" s="79"/>
      <c r="K110" s="79"/>
      <c r="L110" s="80"/>
      <c r="M110" s="87"/>
      <c r="N110" s="87"/>
      <c r="O110" s="87"/>
      <c r="P110" s="87"/>
      <c r="Q110" s="86"/>
      <c r="R110" s="86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1">
        <v>18</v>
      </c>
      <c r="AM110" s="12"/>
      <c r="AN110" s="96"/>
      <c r="AO110" s="186"/>
      <c r="AP110" s="186"/>
      <c r="AQ110" s="11"/>
      <c r="AR110" s="11"/>
    </row>
  </sheetData>
  <mergeCells count="70">
    <mergeCell ref="AO25:AP25"/>
    <mergeCell ref="S20:T25"/>
    <mergeCell ref="S16:T18"/>
    <mergeCell ref="A19:AE19"/>
    <mergeCell ref="A51:AE51"/>
    <mergeCell ref="AO83:AP83"/>
    <mergeCell ref="AO103:AP103"/>
    <mergeCell ref="A26:AE26"/>
    <mergeCell ref="AO28:AP28"/>
    <mergeCell ref="AO29:AP29"/>
    <mergeCell ref="M27:Y32"/>
    <mergeCell ref="A80:AE80"/>
    <mergeCell ref="AO82:AP82"/>
    <mergeCell ref="AO70:AP70"/>
    <mergeCell ref="AO71:AP71"/>
    <mergeCell ref="AO74:AP74"/>
    <mergeCell ref="AO68:AP68"/>
    <mergeCell ref="AO73:AP73"/>
    <mergeCell ref="A75:AE75"/>
    <mergeCell ref="AO39:AP39"/>
    <mergeCell ref="A46:AE46"/>
    <mergeCell ref="G5:H5"/>
    <mergeCell ref="A14:AE14"/>
    <mergeCell ref="AO67:AP67"/>
    <mergeCell ref="AO44:AP44"/>
    <mergeCell ref="AO55:AP55"/>
    <mergeCell ref="A33:AE33"/>
    <mergeCell ref="L13:AO13"/>
    <mergeCell ref="AO45:AP45"/>
    <mergeCell ref="AO42:AP42"/>
    <mergeCell ref="AO57:AP57"/>
    <mergeCell ref="AO58:AP58"/>
    <mergeCell ref="A59:AE59"/>
    <mergeCell ref="AO64:AP64"/>
    <mergeCell ref="AO65:AP65"/>
    <mergeCell ref="A15:AE15"/>
    <mergeCell ref="AO24:AP24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AO110:AP110"/>
    <mergeCell ref="AO88:AP88"/>
    <mergeCell ref="AO89:AP89"/>
    <mergeCell ref="AO91:AP91"/>
    <mergeCell ref="AO92:AP92"/>
    <mergeCell ref="A93:AE93"/>
    <mergeCell ref="A97:AE97"/>
    <mergeCell ref="A98:AE98"/>
    <mergeCell ref="AO104:AP104"/>
    <mergeCell ref="AO109:AP109"/>
    <mergeCell ref="A50:AE50"/>
    <mergeCell ref="A55:AE55"/>
    <mergeCell ref="AO38:AP38"/>
    <mergeCell ref="AO41:AP41"/>
    <mergeCell ref="A76:AE76"/>
    <mergeCell ref="AO48:AP48"/>
    <mergeCell ref="AO49:AP49"/>
  </mergeCells>
  <conditionalFormatting sqref="A36">
    <cfRule type="expression" dxfId="116" priority="108" stopIfTrue="1">
      <formula>$DB14=1</formula>
    </cfRule>
  </conditionalFormatting>
  <conditionalFormatting sqref="A36:B36">
    <cfRule type="expression" dxfId="115" priority="106" stopIfTrue="1">
      <formula>$CV14&gt;0</formula>
    </cfRule>
    <cfRule type="expression" dxfId="114" priority="107" stopIfTrue="1">
      <formula>$CU14&gt;0</formula>
    </cfRule>
  </conditionalFormatting>
  <conditionalFormatting sqref="A36">
    <cfRule type="expression" dxfId="113" priority="105" stopIfTrue="1">
      <formula>$DB14=1</formula>
    </cfRule>
  </conditionalFormatting>
  <conditionalFormatting sqref="A36:B36">
    <cfRule type="expression" dxfId="112" priority="103" stopIfTrue="1">
      <formula>$CV14&gt;0</formula>
    </cfRule>
    <cfRule type="expression" dxfId="111" priority="104" stopIfTrue="1">
      <formula>$CU14&gt;0</formula>
    </cfRule>
  </conditionalFormatting>
  <conditionalFormatting sqref="A36">
    <cfRule type="expression" dxfId="110" priority="102" stopIfTrue="1">
      <formula>$DC14=1</formula>
    </cfRule>
  </conditionalFormatting>
  <conditionalFormatting sqref="A36:B36">
    <cfRule type="expression" dxfId="109" priority="100" stopIfTrue="1">
      <formula>$CW14&gt;0</formula>
    </cfRule>
    <cfRule type="expression" dxfId="108" priority="101" stopIfTrue="1">
      <formula>$CV14&gt;0</formula>
    </cfRule>
  </conditionalFormatting>
  <conditionalFormatting sqref="A62">
    <cfRule type="expression" dxfId="107" priority="99" stopIfTrue="1">
      <formula>$DB58=1</formula>
    </cfRule>
  </conditionalFormatting>
  <conditionalFormatting sqref="A62:B62">
    <cfRule type="expression" dxfId="106" priority="97" stopIfTrue="1">
      <formula>$CV58&gt;0</formula>
    </cfRule>
    <cfRule type="expression" dxfId="105" priority="98" stopIfTrue="1">
      <formula>$CU58&gt;0</formula>
    </cfRule>
  </conditionalFormatting>
  <conditionalFormatting sqref="A62">
    <cfRule type="expression" dxfId="104" priority="96" stopIfTrue="1">
      <formula>$DB58=1</formula>
    </cfRule>
  </conditionalFormatting>
  <conditionalFormatting sqref="A62:B62">
    <cfRule type="expression" dxfId="103" priority="94" stopIfTrue="1">
      <formula>$CV58&gt;0</formula>
    </cfRule>
    <cfRule type="expression" dxfId="102" priority="95" stopIfTrue="1">
      <formula>$CU58&gt;0</formula>
    </cfRule>
  </conditionalFormatting>
  <conditionalFormatting sqref="A62">
    <cfRule type="expression" dxfId="101" priority="93" stopIfTrue="1">
      <formula>$DC58=1</formula>
    </cfRule>
  </conditionalFormatting>
  <conditionalFormatting sqref="A62:B62">
    <cfRule type="expression" dxfId="100" priority="91" stopIfTrue="1">
      <formula>$CW58&gt;0</formula>
    </cfRule>
    <cfRule type="expression" dxfId="99" priority="92" stopIfTrue="1">
      <formula>$CV58&gt;0</formula>
    </cfRule>
  </conditionalFormatting>
  <conditionalFormatting sqref="A86">
    <cfRule type="expression" dxfId="98" priority="90" stopIfTrue="1">
      <formula>$DB82=1</formula>
    </cfRule>
  </conditionalFormatting>
  <conditionalFormatting sqref="A86:B86">
    <cfRule type="expression" dxfId="97" priority="88" stopIfTrue="1">
      <formula>$CV82&gt;0</formula>
    </cfRule>
    <cfRule type="expression" dxfId="96" priority="89" stopIfTrue="1">
      <formula>$CU82&gt;0</formula>
    </cfRule>
  </conditionalFormatting>
  <conditionalFormatting sqref="A86">
    <cfRule type="expression" dxfId="95" priority="87" stopIfTrue="1">
      <formula>$DB82=1</formula>
    </cfRule>
  </conditionalFormatting>
  <conditionalFormatting sqref="A86:B86">
    <cfRule type="expression" dxfId="94" priority="85" stopIfTrue="1">
      <formula>$CV82&gt;0</formula>
    </cfRule>
    <cfRule type="expression" dxfId="93" priority="86" stopIfTrue="1">
      <formula>$CU82&gt;0</formula>
    </cfRule>
  </conditionalFormatting>
  <conditionalFormatting sqref="A86">
    <cfRule type="expression" dxfId="92" priority="84" stopIfTrue="1">
      <formula>$DC82=1</formula>
    </cfRule>
  </conditionalFormatting>
  <conditionalFormatting sqref="A86:B86">
    <cfRule type="expression" dxfId="91" priority="82" stopIfTrue="1">
      <formula>$CW82&gt;0</formula>
    </cfRule>
    <cfRule type="expression" dxfId="90" priority="83" stopIfTrue="1">
      <formula>$CV82&gt;0</formula>
    </cfRule>
  </conditionalFormatting>
  <conditionalFormatting sqref="A96">
    <cfRule type="expression" dxfId="89" priority="79" stopIfTrue="1">
      <formula>$DB92=1</formula>
    </cfRule>
  </conditionalFormatting>
  <conditionalFormatting sqref="A96:B96">
    <cfRule type="expression" dxfId="88" priority="80" stopIfTrue="1">
      <formula>$CV92&gt;0</formula>
    </cfRule>
    <cfRule type="expression" dxfId="87" priority="81" stopIfTrue="1">
      <formula>$CU92&gt;0</formula>
    </cfRule>
  </conditionalFormatting>
  <conditionalFormatting sqref="A96">
    <cfRule type="expression" dxfId="86" priority="78" stopIfTrue="1">
      <formula>$DB92=1</formula>
    </cfRule>
  </conditionalFormatting>
  <conditionalFormatting sqref="A96:B96">
    <cfRule type="expression" dxfId="85" priority="76" stopIfTrue="1">
      <formula>$CV92&gt;0</formula>
    </cfRule>
    <cfRule type="expression" dxfId="84" priority="77" stopIfTrue="1">
      <formula>$CU92&gt;0</formula>
    </cfRule>
  </conditionalFormatting>
  <conditionalFormatting sqref="A96">
    <cfRule type="expression" dxfId="83" priority="75" stopIfTrue="1">
      <formula>$DC92=1</formula>
    </cfRule>
  </conditionalFormatting>
  <conditionalFormatting sqref="A96:B96">
    <cfRule type="expression" dxfId="82" priority="73" stopIfTrue="1">
      <formula>$CW92&gt;0</formula>
    </cfRule>
    <cfRule type="expression" dxfId="81" priority="74" stopIfTrue="1">
      <formula>$CV92&gt;0</formula>
    </cfRule>
  </conditionalFormatting>
  <conditionalFormatting sqref="A101">
    <cfRule type="expression" dxfId="80" priority="70" stopIfTrue="1">
      <formula>$DB97=1</formula>
    </cfRule>
  </conditionalFormatting>
  <conditionalFormatting sqref="A101:B101">
    <cfRule type="expression" dxfId="79" priority="71" stopIfTrue="1">
      <formula>$CV97&gt;0</formula>
    </cfRule>
    <cfRule type="expression" dxfId="78" priority="72" stopIfTrue="1">
      <formula>$CU97&gt;0</formula>
    </cfRule>
  </conditionalFormatting>
  <conditionalFormatting sqref="A101">
    <cfRule type="expression" dxfId="77" priority="69" stopIfTrue="1">
      <formula>$DB97=1</formula>
    </cfRule>
  </conditionalFormatting>
  <conditionalFormatting sqref="A101:B101">
    <cfRule type="expression" dxfId="76" priority="67" stopIfTrue="1">
      <formula>$CV97&gt;0</formula>
    </cfRule>
    <cfRule type="expression" dxfId="75" priority="68" stopIfTrue="1">
      <formula>$CU97&gt;0</formula>
    </cfRule>
  </conditionalFormatting>
  <conditionalFormatting sqref="A101">
    <cfRule type="expression" dxfId="74" priority="66" stopIfTrue="1">
      <formula>$DC97=1</formula>
    </cfRule>
  </conditionalFormatting>
  <conditionalFormatting sqref="A101:B101">
    <cfRule type="expression" dxfId="73" priority="64" stopIfTrue="1">
      <formula>$CW97&gt;0</formula>
    </cfRule>
    <cfRule type="expression" dxfId="72" priority="65" stopIfTrue="1">
      <formula>$CV97&gt;0</formula>
    </cfRule>
  </conditionalFormatting>
  <conditionalFormatting sqref="A107">
    <cfRule type="expression" dxfId="71" priority="63" stopIfTrue="1">
      <formula>$DB103=1</formula>
    </cfRule>
  </conditionalFormatting>
  <conditionalFormatting sqref="A107:B107">
    <cfRule type="expression" dxfId="70" priority="61" stopIfTrue="1">
      <formula>$CV103&gt;0</formula>
    </cfRule>
    <cfRule type="expression" dxfId="69" priority="62" stopIfTrue="1">
      <formula>$CU103&gt;0</formula>
    </cfRule>
  </conditionalFormatting>
  <conditionalFormatting sqref="A107">
    <cfRule type="expression" dxfId="68" priority="60" stopIfTrue="1">
      <formula>$DB103=1</formula>
    </cfRule>
  </conditionalFormatting>
  <conditionalFormatting sqref="A107:B107">
    <cfRule type="expression" dxfId="67" priority="58" stopIfTrue="1">
      <formula>$CV103&gt;0</formula>
    </cfRule>
    <cfRule type="expression" dxfId="66" priority="59" stopIfTrue="1">
      <formula>$CU103&gt;0</formula>
    </cfRule>
  </conditionalFormatting>
  <conditionalFormatting sqref="A107">
    <cfRule type="expression" dxfId="65" priority="57" stopIfTrue="1">
      <formula>$DC103=1</formula>
    </cfRule>
  </conditionalFormatting>
  <conditionalFormatting sqref="A107:B107">
    <cfRule type="expression" dxfId="64" priority="55" stopIfTrue="1">
      <formula>$CW103&gt;0</formula>
    </cfRule>
    <cfRule type="expression" dxfId="63" priority="56" stopIfTrue="1">
      <formula>$CV103&gt;0</formula>
    </cfRule>
  </conditionalFormatting>
  <conditionalFormatting sqref="A32">
    <cfRule type="expression" dxfId="62" priority="54" stopIfTrue="1">
      <formula>$DB14=1</formula>
    </cfRule>
  </conditionalFormatting>
  <conditionalFormatting sqref="A32:B32">
    <cfRule type="expression" dxfId="61" priority="52" stopIfTrue="1">
      <formula>$CV14&gt;0</formula>
    </cfRule>
    <cfRule type="expression" dxfId="60" priority="53" stopIfTrue="1">
      <formula>$CU14&gt;0</formula>
    </cfRule>
  </conditionalFormatting>
  <conditionalFormatting sqref="A32">
    <cfRule type="expression" dxfId="59" priority="51" stopIfTrue="1">
      <formula>$DB14=1</formula>
    </cfRule>
  </conditionalFormatting>
  <conditionalFormatting sqref="A32:B32">
    <cfRule type="expression" dxfId="58" priority="49" stopIfTrue="1">
      <formula>$CV14&gt;0</formula>
    </cfRule>
    <cfRule type="expression" dxfId="57" priority="50" stopIfTrue="1">
      <formula>$CU14&gt;0</formula>
    </cfRule>
  </conditionalFormatting>
  <conditionalFormatting sqref="A32">
    <cfRule type="expression" dxfId="56" priority="48" stopIfTrue="1">
      <formula>$DC14=1</formula>
    </cfRule>
  </conditionalFormatting>
  <conditionalFormatting sqref="A32:B32">
    <cfRule type="expression" dxfId="55" priority="46" stopIfTrue="1">
      <formula>$CW14&gt;0</formula>
    </cfRule>
    <cfRule type="expression" dxfId="54" priority="47" stopIfTrue="1">
      <formula>$CV14&gt;0</formula>
    </cfRule>
  </conditionalFormatting>
  <conditionalFormatting sqref="A22">
    <cfRule type="expression" dxfId="53" priority="45" stopIfTrue="1">
      <formula>$DB14=1</formula>
    </cfRule>
  </conditionalFormatting>
  <conditionalFormatting sqref="A22:B22">
    <cfRule type="expression" dxfId="52" priority="43" stopIfTrue="1">
      <formula>$CV14&gt;0</formula>
    </cfRule>
    <cfRule type="expression" dxfId="51" priority="44" stopIfTrue="1">
      <formula>$CU14&gt;0</formula>
    </cfRule>
  </conditionalFormatting>
  <conditionalFormatting sqref="A22">
    <cfRule type="expression" dxfId="50" priority="42" stopIfTrue="1">
      <formula>$DB14=1</formula>
    </cfRule>
  </conditionalFormatting>
  <conditionalFormatting sqref="A22:B22">
    <cfRule type="expression" dxfId="49" priority="40" stopIfTrue="1">
      <formula>$CV14&gt;0</formula>
    </cfRule>
    <cfRule type="expression" dxfId="48" priority="41" stopIfTrue="1">
      <formula>$CU14&gt;0</formula>
    </cfRule>
  </conditionalFormatting>
  <conditionalFormatting sqref="A22">
    <cfRule type="expression" dxfId="47" priority="39" stopIfTrue="1">
      <formula>$DC14=1</formula>
    </cfRule>
  </conditionalFormatting>
  <conditionalFormatting sqref="A22:B22">
    <cfRule type="expression" dxfId="46" priority="37" stopIfTrue="1">
      <formula>$CW14&gt;0</formula>
    </cfRule>
    <cfRule type="expression" dxfId="45" priority="38" stopIfTrue="1">
      <formula>$CV14&gt;0</formula>
    </cfRule>
  </conditionalFormatting>
  <conditionalFormatting sqref="A18">
    <cfRule type="expression" dxfId="44" priority="36" stopIfTrue="1">
      <formula>$DB14=1</formula>
    </cfRule>
  </conditionalFormatting>
  <conditionalFormatting sqref="A18:B18">
    <cfRule type="expression" dxfId="43" priority="34" stopIfTrue="1">
      <formula>$CV14&gt;0</formula>
    </cfRule>
    <cfRule type="expression" dxfId="42" priority="35" stopIfTrue="1">
      <formula>$CU14&gt;0</formula>
    </cfRule>
  </conditionalFormatting>
  <conditionalFormatting sqref="A18">
    <cfRule type="expression" dxfId="41" priority="33" stopIfTrue="1">
      <formula>$DB14=1</formula>
    </cfRule>
  </conditionalFormatting>
  <conditionalFormatting sqref="A18:B18">
    <cfRule type="expression" dxfId="40" priority="31" stopIfTrue="1">
      <formula>$CV14&gt;0</formula>
    </cfRule>
    <cfRule type="expression" dxfId="39" priority="32" stopIfTrue="1">
      <formula>$CU14&gt;0</formula>
    </cfRule>
  </conditionalFormatting>
  <conditionalFormatting sqref="A18">
    <cfRule type="expression" dxfId="38" priority="30" stopIfTrue="1">
      <formula>$DC14=1</formula>
    </cfRule>
  </conditionalFormatting>
  <conditionalFormatting sqref="A18:B18">
    <cfRule type="expression" dxfId="37" priority="28" stopIfTrue="1">
      <formula>$CW14&gt;0</formula>
    </cfRule>
    <cfRule type="expression" dxfId="36" priority="29" stopIfTrue="1">
      <formula>$CV14&gt;0</formula>
    </cfRule>
  </conditionalFormatting>
  <conditionalFormatting sqref="A79">
    <cfRule type="expression" dxfId="35" priority="27" stopIfTrue="1">
      <formula>$DB69=1</formula>
    </cfRule>
  </conditionalFormatting>
  <conditionalFormatting sqref="A79:B79">
    <cfRule type="expression" dxfId="34" priority="25" stopIfTrue="1">
      <formula>$CV69&gt;0</formula>
    </cfRule>
    <cfRule type="expression" dxfId="33" priority="26" stopIfTrue="1">
      <formula>$CU69&gt;0</formula>
    </cfRule>
  </conditionalFormatting>
  <conditionalFormatting sqref="A79">
    <cfRule type="expression" dxfId="32" priority="24" stopIfTrue="1">
      <formula>$DB69=1</formula>
    </cfRule>
  </conditionalFormatting>
  <conditionalFormatting sqref="A79:B79">
    <cfRule type="expression" dxfId="31" priority="22" stopIfTrue="1">
      <formula>$CV69&gt;0</formula>
    </cfRule>
    <cfRule type="expression" dxfId="30" priority="23" stopIfTrue="1">
      <formula>$CU69&gt;0</formula>
    </cfRule>
  </conditionalFormatting>
  <conditionalFormatting sqref="A79">
    <cfRule type="expression" dxfId="29" priority="21" stopIfTrue="1">
      <formula>$DC69=1</formula>
    </cfRule>
  </conditionalFormatting>
  <conditionalFormatting sqref="A79:B79">
    <cfRule type="expression" dxfId="28" priority="19" stopIfTrue="1">
      <formula>$CW69&gt;0</formula>
    </cfRule>
    <cfRule type="expression" dxfId="27" priority="20" stopIfTrue="1">
      <formula>$CV69&gt;0</formula>
    </cfRule>
  </conditionalFormatting>
  <conditionalFormatting sqref="A79">
    <cfRule type="expression" dxfId="26" priority="18" stopIfTrue="1">
      <formula>$DB69=1</formula>
    </cfRule>
  </conditionalFormatting>
  <conditionalFormatting sqref="A79:B79">
    <cfRule type="expression" dxfId="25" priority="16" stopIfTrue="1">
      <formula>$CV69&gt;0</formula>
    </cfRule>
    <cfRule type="expression" dxfId="24" priority="17" stopIfTrue="1">
      <formula>$CU69&gt;0</formula>
    </cfRule>
  </conditionalFormatting>
  <conditionalFormatting sqref="A79">
    <cfRule type="expression" dxfId="23" priority="15" stopIfTrue="1">
      <formula>$DB69=1</formula>
    </cfRule>
  </conditionalFormatting>
  <conditionalFormatting sqref="A79:B79">
    <cfRule type="expression" dxfId="22" priority="13" stopIfTrue="1">
      <formula>$CV69&gt;0</formula>
    </cfRule>
    <cfRule type="expression" dxfId="21" priority="14" stopIfTrue="1">
      <formula>$CU69&gt;0</formula>
    </cfRule>
  </conditionalFormatting>
  <conditionalFormatting sqref="A79">
    <cfRule type="expression" dxfId="20" priority="12" stopIfTrue="1">
      <formula>$DC69=1</formula>
    </cfRule>
  </conditionalFormatting>
  <conditionalFormatting sqref="A79:B79">
    <cfRule type="expression" dxfId="19" priority="10" stopIfTrue="1">
      <formula>$CW69&gt;0</formula>
    </cfRule>
    <cfRule type="expression" dxfId="18" priority="11" stopIfTrue="1">
      <formula>$CV69&gt;0</formula>
    </cfRule>
  </conditionalFormatting>
  <conditionalFormatting sqref="A54">
    <cfRule type="expression" dxfId="17" priority="9" stopIfTrue="1">
      <formula>$DB50=1</formula>
    </cfRule>
  </conditionalFormatting>
  <conditionalFormatting sqref="A54:B54">
    <cfRule type="expression" dxfId="15" priority="7" stopIfTrue="1">
      <formula>$CV50&gt;0</formula>
    </cfRule>
    <cfRule type="expression" dxfId="14" priority="8" stopIfTrue="1">
      <formula>$CU50&gt;0</formula>
    </cfRule>
  </conditionalFormatting>
  <conditionalFormatting sqref="A54">
    <cfRule type="expression" dxfId="11" priority="6" stopIfTrue="1">
      <formula>$DB50=1</formula>
    </cfRule>
  </conditionalFormatting>
  <conditionalFormatting sqref="A54:B54">
    <cfRule type="expression" dxfId="9" priority="4" stopIfTrue="1">
      <formula>$CV50&gt;0</formula>
    </cfRule>
    <cfRule type="expression" dxfId="8" priority="5" stopIfTrue="1">
      <formula>$CU50&gt;0</formula>
    </cfRule>
  </conditionalFormatting>
  <conditionalFormatting sqref="A54">
    <cfRule type="expression" dxfId="5" priority="3" stopIfTrue="1">
      <formula>$DC50=1</formula>
    </cfRule>
  </conditionalFormatting>
  <conditionalFormatting sqref="A54:B54">
    <cfRule type="expression" dxfId="3" priority="1" stopIfTrue="1">
      <formula>$CW50&gt;0</formula>
    </cfRule>
    <cfRule type="expression" dxfId="2" priority="2" stopIfTrue="1">
      <formula>$CV50&gt;0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2021-10-27T11:28:54Z</dcterms:modified>
</cp:coreProperties>
</file>