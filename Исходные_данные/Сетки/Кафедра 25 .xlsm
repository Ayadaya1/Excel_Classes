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57" i="1"/>
  <c r="E56"/>
  <c r="D55"/>
  <c r="C55" s="1"/>
  <c r="F54"/>
  <c r="E53"/>
  <c r="D52"/>
  <c r="C52"/>
  <c r="F49"/>
  <c r="E48"/>
  <c r="D47"/>
  <c r="C47" s="1"/>
  <c r="F45"/>
  <c r="E44"/>
  <c r="D43"/>
  <c r="C43" s="1"/>
  <c r="F40"/>
  <c r="E39"/>
  <c r="D38"/>
  <c r="F27"/>
  <c r="E26"/>
  <c r="D25"/>
  <c r="F18"/>
  <c r="E17"/>
  <c r="D16"/>
  <c r="F36"/>
  <c r="E35"/>
  <c r="D34"/>
  <c r="C25" l="1"/>
  <c r="C38"/>
  <c r="C34"/>
  <c r="C16"/>
  <c r="F32"/>
  <c r="E31"/>
  <c r="D30"/>
  <c r="C30" l="1"/>
  <c r="F23"/>
  <c r="E22"/>
  <c r="D21"/>
  <c r="C21" l="1"/>
</calcChain>
</file>

<file path=xl/sharedStrings.xml><?xml version="1.0" encoding="utf-8"?>
<sst xmlns="http://schemas.openxmlformats.org/spreadsheetml/2006/main" count="56" uniqueCount="46">
  <si>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</si>
  <si>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</si>
  <si>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</si>
  <si>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</si>
  <si>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</si>
  <si>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</si>
  <si>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</si>
  <si>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</si>
  <si>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</si>
  <si>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</si>
  <si>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</si>
  <si>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</si>
  <si>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</si>
  <si>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</si>
  <si>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</si>
  <si>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</si>
  <si>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</si>
  <si>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</si>
  <si>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 xml:space="preserve">               2 КУРС</t>
  </si>
  <si>
    <t xml:space="preserve">               3 КУРС</t>
  </si>
  <si>
    <t>Дифф.зачет</t>
  </si>
  <si>
    <t xml:space="preserve">                                            Кафедра № 25</t>
  </si>
  <si>
    <t>Дисциплины кафедры № 25</t>
  </si>
  <si>
    <t>Дисциплины 103-104 (ЛЭГВС)</t>
  </si>
  <si>
    <t>Управление воздушным движением</t>
  </si>
  <si>
    <t>Дисциплины 190,191,192а (ОЛР)</t>
  </si>
  <si>
    <t>Правила и фразеология радиообмена при выполнении полетов</t>
  </si>
  <si>
    <t>Зачет</t>
  </si>
  <si>
    <t>Дисциплины 192 (ОЛР)</t>
  </si>
  <si>
    <t>Аэронавигационное обслуживание полетов</t>
  </si>
  <si>
    <t>Экзамен</t>
  </si>
  <si>
    <t>Дисциплины 115, 116,117 (ОрВД)</t>
  </si>
  <si>
    <t>Технология обслуживания воздушного движения</t>
  </si>
  <si>
    <t>Дисциплины  105,106,107,107а (ИВП)</t>
  </si>
  <si>
    <t>Дисциплины  195,196,197,197а (ИВП)</t>
  </si>
  <si>
    <t xml:space="preserve">               4 КУРС</t>
  </si>
  <si>
    <t xml:space="preserve">Экзамен </t>
  </si>
  <si>
    <t>КР</t>
  </si>
  <si>
    <t>Дисциплины   185,186,187,187а  (ИВП)</t>
  </si>
  <si>
    <t>Обслуживание воздушного движения</t>
  </si>
  <si>
    <t>Дисциплины  188,189 (ОрАНО)</t>
  </si>
  <si>
    <t xml:space="preserve">               5 КУРС</t>
  </si>
  <si>
    <t>Организация работы службы движения гражданской авиации</t>
  </si>
  <si>
    <t>Перспективные системы и средства поддержки принятия решения при обслуживании воздушного движения</t>
  </si>
  <si>
    <t>факультатив</t>
  </si>
  <si>
    <t>Дисциплины  175,176,177,177а (ИВП)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</si>
</sst>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6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9" fillId="2" borderId="35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0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3" borderId="39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1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30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26" xfId="0" applyFont="1" applyFill="1" applyBorder="1" applyAlignment="1">
      <alignment horizontal="center" vertical="center"/>
    </xf>
    <xf numFmtId="0" fontId="8" fillId="3" borderId="40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41" xfId="0" applyFont="1" applyFill="1" applyBorder="1" applyAlignment="1">
      <alignment horizontal="center" vertical="center"/>
    </xf>
    <xf numFmtId="0" fontId="8" fillId="3" borderId="4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33" xfId="0" applyFont="1" applyFill="1" applyBorder="1" applyAlignment="1">
      <alignment horizontal="center" vertical="center"/>
    </xf>
    <xf numFmtId="0" fontId="8" fillId="3" borderId="32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3" borderId="46" xfId="0" applyFont="1" applyFill="1" applyBorder="1" applyAlignment="1">
      <alignment horizontal="center" vertical="center"/>
    </xf>
    <xf numFmtId="0" fontId="8" fillId="3" borderId="47" xfId="0" applyFont="1" applyFill="1" applyBorder="1" applyAlignment="1">
      <alignment horizontal="center" vertical="center"/>
    </xf>
    <xf numFmtId="0" fontId="8" fillId="3" borderId="45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vertical="center"/>
    </xf>
    <xf numFmtId="0" fontId="8" fillId="2" borderId="22" xfId="0" applyFont="1" applyFill="1" applyBorder="1" applyAlignment="1">
      <alignment vertical="center"/>
    </xf>
    <xf numFmtId="0" fontId="8" fillId="2" borderId="23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44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 applyProtection="1">
      <alignment horizontal="center" vertical="center" wrapText="1" shrinkToFit="1"/>
    </xf>
    <xf numFmtId="49" fontId="6" fillId="3" borderId="7" xfId="0" applyNumberFormat="1" applyFont="1" applyFill="1" applyBorder="1" applyAlignment="1" applyProtection="1">
      <alignment horizontal="left" vertical="top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6" fillId="3" borderId="43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0" fillId="0" borderId="0" xfId="1" applyNumberFormat="1" applyFont="1" applyFill="1" applyBorder="1" applyAlignment="1">
      <alignment horizontal="left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1" fontId="5" fillId="0" borderId="8" xfId="0" applyNumberFormat="1" applyFont="1" applyFill="1" applyBorder="1" applyAlignment="1" applyProtection="1">
      <alignment horizontal="center" vertical="center" wrapText="1" shrinkToFit="1"/>
    </xf>
    <xf numFmtId="49" fontId="6" fillId="0" borderId="7" xfId="0" applyNumberFormat="1" applyFont="1" applyFill="1" applyBorder="1" applyAlignment="1" applyProtection="1">
      <alignment horizontal="left" vertical="top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wrapText="1"/>
    </xf>
    <xf numFmtId="0" fontId="3" fillId="0" borderId="52" xfId="0" applyFont="1" applyFill="1" applyBorder="1" applyAlignment="1">
      <alignment vertical="center" wrapText="1"/>
    </xf>
    <xf numFmtId="0" fontId="3" fillId="0" borderId="53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6" fillId="0" borderId="43" xfId="0" applyFont="1" applyFill="1" applyBorder="1" applyAlignment="1">
      <alignment horizontal="center" vertical="center" wrapText="1"/>
    </xf>
    <xf numFmtId="0" fontId="6" fillId="0" borderId="16" xfId="0" applyFont="1" applyFill="1" applyBorder="1" applyAlignment="1">
      <alignment wrapText="1"/>
    </xf>
    <xf numFmtId="0" fontId="3" fillId="0" borderId="18" xfId="0" applyFont="1" applyFill="1" applyBorder="1" applyAlignment="1">
      <alignment vertical="center" wrapText="1"/>
    </xf>
    <xf numFmtId="0" fontId="3" fillId="0" borderId="37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vertical="center" wrapText="1"/>
    </xf>
    <xf numFmtId="0" fontId="3" fillId="0" borderId="54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13" xfId="0" applyFont="1" applyFill="1" applyBorder="1" applyAlignment="1">
      <alignment vertical="center" wrapText="1"/>
    </xf>
    <xf numFmtId="0" fontId="3" fillId="0" borderId="28" xfId="0" applyFont="1" applyFill="1" applyBorder="1" applyAlignment="1">
      <alignment vertical="center" wrapText="1"/>
    </xf>
    <xf numFmtId="0" fontId="3" fillId="0" borderId="56" xfId="0" applyFont="1" applyFill="1" applyBorder="1" applyAlignment="1">
      <alignment vertical="center" wrapText="1"/>
    </xf>
    <xf numFmtId="0" fontId="3" fillId="3" borderId="59" xfId="0" applyFont="1" applyFill="1" applyBorder="1" applyAlignment="1">
      <alignment horizontal="center" vertical="center" wrapText="1"/>
    </xf>
    <xf numFmtId="0" fontId="3" fillId="3" borderId="60" xfId="0" applyFont="1" applyFill="1" applyBorder="1" applyAlignment="1">
      <alignment horizontal="center" vertical="center" wrapText="1"/>
    </xf>
    <xf numFmtId="49" fontId="10" fillId="0" borderId="0" xfId="1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7" fillId="0" borderId="20" xfId="0" applyFont="1" applyFill="1" applyBorder="1" applyAlignment="1">
      <alignment horizontal="center" vertical="center" wrapText="1"/>
    </xf>
    <xf numFmtId="0" fontId="7" fillId="0" borderId="17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29" xfId="0" applyFont="1" applyFill="1" applyBorder="1" applyAlignment="1">
      <alignment horizontal="center" vertical="center" wrapText="1"/>
    </xf>
    <xf numFmtId="0" fontId="7" fillId="0" borderId="19" xfId="0" applyFont="1" applyFill="1" applyBorder="1" applyAlignment="1">
      <alignment horizontal="center" vertical="center" textRotation="90"/>
    </xf>
    <xf numFmtId="0" fontId="7" fillId="0" borderId="27" xfId="0" applyFont="1" applyFill="1" applyBorder="1" applyAlignment="1">
      <alignment horizontal="center" vertical="center" textRotation="90"/>
    </xf>
    <xf numFmtId="0" fontId="7" fillId="0" borderId="34" xfId="0" applyFont="1" applyFill="1" applyBorder="1" applyAlignment="1">
      <alignment horizontal="center" vertical="center" textRotation="90"/>
    </xf>
    <xf numFmtId="0" fontId="7" fillId="0" borderId="19" xfId="0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center" vertical="center" wrapText="1"/>
    </xf>
    <xf numFmtId="0" fontId="7" fillId="0" borderId="34" xfId="0" applyFont="1" applyFill="1" applyBorder="1" applyAlignment="1">
      <alignment horizontal="center" vertical="center" wrapText="1"/>
    </xf>
    <xf numFmtId="0" fontId="7" fillId="0" borderId="19" xfId="0" applyFont="1" applyFill="1" applyBorder="1" applyAlignment="1">
      <alignment horizontal="center" vertical="center" textRotation="90" wrapText="1"/>
    </xf>
    <xf numFmtId="0" fontId="7" fillId="0" borderId="27" xfId="0" applyFont="1" applyFill="1" applyBorder="1" applyAlignment="1">
      <alignment horizontal="center" vertical="center" textRotation="90" wrapText="1"/>
    </xf>
    <xf numFmtId="0" fontId="7" fillId="0" borderId="34" xfId="0" applyFont="1" applyFill="1" applyBorder="1" applyAlignment="1">
      <alignment horizontal="center" vertical="center" textRotation="90" wrapText="1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0" borderId="27" xfId="0" applyFont="1" applyFill="1" applyBorder="1" applyAlignment="1">
      <alignment horizontal="center" vertical="center" textRotation="89" wrapText="1"/>
    </xf>
    <xf numFmtId="0" fontId="7" fillId="0" borderId="34" xfId="0" applyFont="1" applyFill="1" applyBorder="1" applyAlignment="1">
      <alignment horizontal="center" vertical="center" textRotation="89" wrapText="1"/>
    </xf>
    <xf numFmtId="0" fontId="8" fillId="2" borderId="20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 wrapText="1"/>
    </xf>
    <xf numFmtId="0" fontId="7" fillId="0" borderId="22" xfId="0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49" fontId="10" fillId="0" borderId="0" xfId="1" applyNumberFormat="1" applyFont="1" applyFill="1" applyBorder="1" applyAlignment="1">
      <alignment horizontal="left" vertical="center" wrapText="1"/>
    </xf>
    <xf numFmtId="0" fontId="2" fillId="0" borderId="51" xfId="0" applyFont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5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3" fillId="3" borderId="61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wrapText="1"/>
    </xf>
    <xf numFmtId="0" fontId="3" fillId="3" borderId="63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57"/>
  <sheetViews>
    <sheetView tabSelected="1" topLeftCell="A29" zoomScale="70" zoomScaleNormal="70" workbookViewId="0">
      <selection activeCell="A51" sqref="A51:AE51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30" t="s">
        <v>15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83"/>
    </row>
    <row r="2" spans="1:44">
      <c r="A2" s="131" t="s">
        <v>16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</row>
    <row r="3" spans="1:44" ht="18.75" customHeight="1">
      <c r="A3" s="157"/>
      <c r="B3" s="157"/>
      <c r="C3" s="157"/>
      <c r="H3" s="132" t="s">
        <v>21</v>
      </c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38" t="s">
        <v>1</v>
      </c>
      <c r="B5" s="141" t="s">
        <v>0</v>
      </c>
      <c r="C5" s="133" t="s">
        <v>4</v>
      </c>
      <c r="D5" s="134"/>
      <c r="E5" s="134"/>
      <c r="F5" s="134"/>
      <c r="G5" s="152" t="s">
        <v>9</v>
      </c>
      <c r="H5" s="153"/>
      <c r="I5" s="147" t="s">
        <v>10</v>
      </c>
      <c r="J5" s="148"/>
      <c r="K5" s="148"/>
      <c r="L5" s="149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47" t="s">
        <v>13</v>
      </c>
      <c r="V5" s="153"/>
      <c r="W5" s="148"/>
      <c r="X5" s="148"/>
      <c r="Y5" s="54"/>
      <c r="Z5" s="147" t="s">
        <v>14</v>
      </c>
      <c r="AA5" s="148"/>
      <c r="AB5" s="148"/>
      <c r="AC5" s="148"/>
      <c r="AD5" s="61"/>
      <c r="AE5" s="141" t="s">
        <v>5</v>
      </c>
    </row>
    <row r="6" spans="1:44" ht="20.100000000000001" customHeight="1" thickBot="1">
      <c r="A6" s="139"/>
      <c r="B6" s="142"/>
      <c r="C6" s="135"/>
      <c r="D6" s="136"/>
      <c r="E6" s="136"/>
      <c r="F6" s="137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42"/>
    </row>
    <row r="7" spans="1:44" ht="20.100000000000001" customHeight="1" thickBot="1">
      <c r="A7" s="139"/>
      <c r="B7" s="142"/>
      <c r="C7" s="144" t="s">
        <v>2</v>
      </c>
      <c r="D7" s="154" t="s">
        <v>3</v>
      </c>
      <c r="E7" s="155"/>
      <c r="F7" s="156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42"/>
    </row>
    <row r="8" spans="1:44" ht="20.100000000000001" customHeight="1">
      <c r="A8" s="139"/>
      <c r="B8" s="142"/>
      <c r="C8" s="145"/>
      <c r="D8" s="150" t="s">
        <v>6</v>
      </c>
      <c r="E8" s="145" t="s">
        <v>7</v>
      </c>
      <c r="F8" s="145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42"/>
    </row>
    <row r="9" spans="1:44" s="4" customFormat="1" ht="20.100000000000001" customHeight="1" thickBot="1">
      <c r="A9" s="139"/>
      <c r="B9" s="142"/>
      <c r="C9" s="145"/>
      <c r="D9" s="150"/>
      <c r="E9" s="145"/>
      <c r="F9" s="145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37"/>
    </row>
    <row r="10" spans="1:44" s="4" customFormat="1" ht="20.100000000000001" customHeight="1">
      <c r="A10" s="139"/>
      <c r="B10" s="142"/>
      <c r="C10" s="145"/>
      <c r="D10" s="150"/>
      <c r="E10" s="145"/>
      <c r="F10" s="145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42"/>
    </row>
    <row r="11" spans="1:44" s="4" customFormat="1" ht="20.100000000000001" customHeight="1" thickBot="1">
      <c r="A11" s="139"/>
      <c r="B11" s="142"/>
      <c r="C11" s="145"/>
      <c r="D11" s="150"/>
      <c r="E11" s="145"/>
      <c r="F11" s="145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42"/>
    </row>
    <row r="12" spans="1:44" s="4" customFormat="1" ht="20.100000000000001" customHeight="1" thickBot="1">
      <c r="A12" s="140"/>
      <c r="B12" s="143"/>
      <c r="C12" s="146"/>
      <c r="D12" s="151"/>
      <c r="E12" s="146"/>
      <c r="F12" s="146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43"/>
    </row>
    <row r="13" spans="1:44" s="4" customFormat="1" ht="35.25" customHeight="1">
      <c r="A13" s="85"/>
      <c r="B13" s="85"/>
      <c r="C13" s="84"/>
      <c r="D13" s="84"/>
      <c r="E13" s="84"/>
      <c r="F13" s="84"/>
      <c r="G13" s="84"/>
      <c r="H13" s="84"/>
      <c r="I13" s="84"/>
      <c r="J13" s="84"/>
      <c r="K13" s="84"/>
      <c r="L13" s="160" t="s">
        <v>22</v>
      </c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160"/>
      <c r="AO13" s="160"/>
    </row>
    <row r="14" spans="1:44" s="4" customFormat="1" ht="19.5" customHeight="1" thickBot="1">
      <c r="A14" s="159" t="s">
        <v>17</v>
      </c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M14" s="12"/>
      <c r="AN14" s="86"/>
      <c r="AO14" s="87"/>
      <c r="AP14" s="87"/>
      <c r="AQ14" s="11"/>
      <c r="AR14" s="11"/>
    </row>
    <row r="15" spans="1:44" s="4" customFormat="1" ht="19.5" thickBot="1">
      <c r="A15" s="128" t="s">
        <v>31</v>
      </c>
      <c r="B15" s="128"/>
      <c r="C15" s="128"/>
      <c r="D15" s="128"/>
      <c r="E15" s="128"/>
      <c r="F15" s="128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129"/>
      <c r="W15" s="129"/>
      <c r="X15" s="129"/>
      <c r="Y15" s="129"/>
      <c r="Z15" s="128"/>
      <c r="AA15" s="128"/>
      <c r="AB15" s="128"/>
      <c r="AC15" s="128"/>
      <c r="AD15" s="128"/>
      <c r="AE15" s="128"/>
      <c r="AM15" s="11"/>
      <c r="AN15" s="11"/>
      <c r="AO15" s="11"/>
      <c r="AP15" s="11"/>
      <c r="AQ15" s="11"/>
      <c r="AR15" s="11"/>
    </row>
    <row r="16" spans="1:44" ht="37.5">
      <c r="A16" s="74">
        <v>25</v>
      </c>
      <c r="B16" s="75" t="s">
        <v>29</v>
      </c>
      <c r="C16" s="62">
        <f t="shared" ref="C16" si="0">SUM(D16:F18)</f>
        <v>54</v>
      </c>
      <c r="D16" s="63">
        <f t="shared" ref="D16" si="1">SUM(G16:AD16)</f>
        <v>18</v>
      </c>
      <c r="E16" s="63"/>
      <c r="F16" s="64"/>
      <c r="G16" s="65">
        <v>2</v>
      </c>
      <c r="H16" s="66"/>
      <c r="I16" s="66">
        <v>2</v>
      </c>
      <c r="J16" s="65"/>
      <c r="K16" s="62">
        <v>2</v>
      </c>
      <c r="L16" s="63"/>
      <c r="M16" s="63">
        <v>2</v>
      </c>
      <c r="N16" s="63"/>
      <c r="O16" s="63">
        <v>2</v>
      </c>
      <c r="P16" s="63"/>
      <c r="Q16" s="62">
        <v>2</v>
      </c>
      <c r="R16" s="62"/>
      <c r="S16" s="63">
        <v>2</v>
      </c>
      <c r="T16" s="63"/>
      <c r="U16" s="63">
        <v>2</v>
      </c>
      <c r="V16" s="63"/>
      <c r="W16" s="63">
        <v>2</v>
      </c>
      <c r="X16" s="63"/>
      <c r="Y16" s="63"/>
      <c r="Z16" s="63"/>
      <c r="AA16" s="63"/>
      <c r="AB16" s="63"/>
      <c r="AC16" s="63"/>
      <c r="AD16" s="63"/>
      <c r="AE16" s="64" t="s">
        <v>30</v>
      </c>
    </row>
    <row r="17" spans="1:44">
      <c r="A17" s="76"/>
      <c r="B17" s="77"/>
      <c r="C17" s="67"/>
      <c r="D17" s="68"/>
      <c r="E17" s="68">
        <f t="shared" ref="E17" si="2">SUM(G17:AD17)</f>
        <v>36</v>
      </c>
      <c r="F17" s="69"/>
      <c r="G17" s="67">
        <v>2</v>
      </c>
      <c r="H17" s="67">
        <v>2</v>
      </c>
      <c r="I17" s="67">
        <v>2</v>
      </c>
      <c r="J17" s="67">
        <v>2</v>
      </c>
      <c r="K17" s="67">
        <v>2</v>
      </c>
      <c r="L17" s="67">
        <v>2</v>
      </c>
      <c r="M17" s="67">
        <v>2</v>
      </c>
      <c r="N17" s="67">
        <v>2</v>
      </c>
      <c r="O17" s="67">
        <v>2</v>
      </c>
      <c r="P17" s="67">
        <v>2</v>
      </c>
      <c r="Q17" s="67">
        <v>2</v>
      </c>
      <c r="R17" s="67">
        <v>2</v>
      </c>
      <c r="S17" s="67">
        <v>2</v>
      </c>
      <c r="T17" s="67">
        <v>2</v>
      </c>
      <c r="U17" s="67">
        <v>2</v>
      </c>
      <c r="V17" s="67">
        <v>2</v>
      </c>
      <c r="W17" s="67">
        <v>2</v>
      </c>
      <c r="X17" s="67">
        <v>2</v>
      </c>
      <c r="Y17" s="68"/>
      <c r="Z17" s="68"/>
      <c r="AA17" s="68"/>
      <c r="AB17" s="68"/>
      <c r="AC17" s="68"/>
      <c r="AD17" s="68"/>
      <c r="AE17" s="70"/>
    </row>
    <row r="18" spans="1:44" ht="19.5" thickBot="1">
      <c r="A18" s="80"/>
      <c r="B18" s="81"/>
      <c r="C18" s="71"/>
      <c r="D18" s="72"/>
      <c r="E18" s="72"/>
      <c r="F18" s="73">
        <f t="shared" ref="F18" si="3">SUM(G18:AD18)</f>
        <v>0</v>
      </c>
      <c r="G18" s="71"/>
      <c r="H18" s="72"/>
      <c r="I18" s="72"/>
      <c r="J18" s="71"/>
      <c r="K18" s="71"/>
      <c r="L18" s="72"/>
      <c r="M18" s="72"/>
      <c r="N18" s="72"/>
      <c r="O18" s="72"/>
      <c r="P18" s="72"/>
      <c r="Q18" s="71"/>
      <c r="R18" s="71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3">
        <v>36</v>
      </c>
    </row>
    <row r="19" spans="1:44" ht="52.5" customHeight="1" thickBot="1">
      <c r="A19" s="159" t="s">
        <v>18</v>
      </c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</row>
    <row r="20" spans="1:44" s="4" customFormat="1" ht="24.75" customHeight="1" thickBot="1">
      <c r="A20" s="128" t="s">
        <v>23</v>
      </c>
      <c r="B20" s="128"/>
      <c r="C20" s="128"/>
      <c r="D20" s="128"/>
      <c r="E20" s="128"/>
      <c r="F20" s="128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8"/>
      <c r="AA20" s="128"/>
      <c r="AB20" s="128"/>
      <c r="AC20" s="128"/>
      <c r="AD20" s="128"/>
      <c r="AE20" s="128"/>
    </row>
    <row r="21" spans="1:44" s="4" customFormat="1" ht="37.5">
      <c r="A21" s="100">
        <v>25</v>
      </c>
      <c r="B21" s="101" t="s">
        <v>24</v>
      </c>
      <c r="C21" s="99">
        <f t="shared" ref="C21" si="4">SUM(D21:F22)</f>
        <v>60</v>
      </c>
      <c r="D21" s="96">
        <f t="shared" ref="D21" si="5">SUM(Z21:AD21)</f>
        <v>36</v>
      </c>
      <c r="E21" s="96"/>
      <c r="F21" s="97"/>
      <c r="G21" s="120"/>
      <c r="H21" s="121"/>
      <c r="I21" s="121"/>
      <c r="J21" s="122"/>
      <c r="K21" s="99"/>
      <c r="L21" s="97"/>
      <c r="M21" s="161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3"/>
      <c r="Z21" s="102">
        <v>8</v>
      </c>
      <c r="AA21" s="103">
        <v>6</v>
      </c>
      <c r="AB21" s="103">
        <v>8</v>
      </c>
      <c r="AC21" s="103">
        <v>6</v>
      </c>
      <c r="AD21" s="104">
        <v>8</v>
      </c>
      <c r="AE21" s="97" t="s">
        <v>20</v>
      </c>
      <c r="AM21" s="11"/>
      <c r="AN21" s="11"/>
      <c r="AO21" s="11"/>
      <c r="AP21" s="11"/>
      <c r="AQ21" s="11"/>
      <c r="AR21" s="11"/>
    </row>
    <row r="22" spans="1:44" s="4" customFormat="1">
      <c r="A22" s="105"/>
      <c r="B22" s="106"/>
      <c r="C22" s="89"/>
      <c r="D22" s="90"/>
      <c r="E22" s="90">
        <f t="shared" ref="E22" si="6">SUM(Z22:AD22)</f>
        <v>24</v>
      </c>
      <c r="F22" s="91"/>
      <c r="G22" s="123"/>
      <c r="H22" s="107"/>
      <c r="I22" s="107"/>
      <c r="J22" s="108"/>
      <c r="K22" s="89"/>
      <c r="L22" s="91"/>
      <c r="M22" s="164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65"/>
      <c r="Z22" s="109">
        <v>4</v>
      </c>
      <c r="AA22" s="110">
        <v>6</v>
      </c>
      <c r="AB22" s="110">
        <v>4</v>
      </c>
      <c r="AC22" s="110">
        <v>6</v>
      </c>
      <c r="AD22" s="111">
        <v>4</v>
      </c>
      <c r="AE22" s="112"/>
      <c r="AM22" s="12"/>
      <c r="AN22" s="86"/>
      <c r="AO22" s="158"/>
      <c r="AP22" s="158"/>
      <c r="AQ22" s="11"/>
      <c r="AR22" s="11"/>
    </row>
    <row r="23" spans="1:44" s="4" customFormat="1" ht="19.5" thickBot="1">
      <c r="A23" s="113"/>
      <c r="B23" s="114"/>
      <c r="C23" s="92"/>
      <c r="D23" s="93"/>
      <c r="E23" s="93"/>
      <c r="F23" s="98">
        <f t="shared" ref="F23" si="7">SUM(Z23:AD23)</f>
        <v>0</v>
      </c>
      <c r="G23" s="124"/>
      <c r="H23" s="115"/>
      <c r="I23" s="115"/>
      <c r="J23" s="116"/>
      <c r="K23" s="94"/>
      <c r="L23" s="95"/>
      <c r="M23" s="166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8"/>
      <c r="Z23" s="117"/>
      <c r="AA23" s="118"/>
      <c r="AB23" s="118"/>
      <c r="AC23" s="118"/>
      <c r="AD23" s="119"/>
      <c r="AE23" s="98">
        <v>9</v>
      </c>
      <c r="AM23" s="12"/>
      <c r="AN23" s="86"/>
      <c r="AO23" s="158"/>
      <c r="AP23" s="158"/>
      <c r="AQ23" s="11"/>
      <c r="AR23" s="11"/>
    </row>
    <row r="24" spans="1:44" s="4" customFormat="1" ht="19.5" thickBot="1">
      <c r="A24" s="128" t="s">
        <v>33</v>
      </c>
      <c r="B24" s="128"/>
      <c r="C24" s="128"/>
      <c r="D24" s="128"/>
      <c r="E24" s="128"/>
      <c r="F24" s="128"/>
      <c r="G24" s="128"/>
      <c r="H24" s="128"/>
      <c r="I24" s="128"/>
      <c r="J24" s="128"/>
      <c r="K24" s="129"/>
      <c r="L24" s="129"/>
      <c r="M24" s="129"/>
      <c r="N24" s="129"/>
      <c r="O24" s="129"/>
      <c r="P24" s="129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M24" s="12"/>
      <c r="AN24" s="86"/>
      <c r="AO24" s="127"/>
      <c r="AP24" s="127"/>
      <c r="AQ24" s="11"/>
      <c r="AR24" s="11"/>
    </row>
    <row r="25" spans="1:44" ht="56.25">
      <c r="A25" s="74">
        <v>25</v>
      </c>
      <c r="B25" s="75" t="s">
        <v>32</v>
      </c>
      <c r="C25" s="62">
        <f t="shared" ref="C25" si="8">SUM(D25:F27)</f>
        <v>90</v>
      </c>
      <c r="D25" s="63">
        <f t="shared" ref="D25" si="9">SUM(G25:AD25)</f>
        <v>36</v>
      </c>
      <c r="E25" s="63"/>
      <c r="F25" s="64"/>
      <c r="G25" s="65">
        <v>2</v>
      </c>
      <c r="H25" s="65">
        <v>2</v>
      </c>
      <c r="I25" s="65">
        <v>2</v>
      </c>
      <c r="J25" s="65">
        <v>2</v>
      </c>
      <c r="K25" s="65">
        <v>2</v>
      </c>
      <c r="L25" s="65">
        <v>2</v>
      </c>
      <c r="M25" s="65">
        <v>2</v>
      </c>
      <c r="N25" s="65">
        <v>2</v>
      </c>
      <c r="O25" s="65">
        <v>2</v>
      </c>
      <c r="P25" s="65">
        <v>2</v>
      </c>
      <c r="Q25" s="65">
        <v>2</v>
      </c>
      <c r="R25" s="65">
        <v>2</v>
      </c>
      <c r="S25" s="65">
        <v>2</v>
      </c>
      <c r="T25" s="65">
        <v>2</v>
      </c>
      <c r="U25" s="65">
        <v>2</v>
      </c>
      <c r="V25" s="65">
        <v>2</v>
      </c>
      <c r="W25" s="65">
        <v>2</v>
      </c>
      <c r="X25" s="65">
        <v>2</v>
      </c>
      <c r="Y25" s="63"/>
      <c r="Z25" s="63"/>
      <c r="AA25" s="63"/>
      <c r="AB25" s="63"/>
      <c r="AC25" s="63"/>
      <c r="AD25" s="63"/>
      <c r="AE25" s="64" t="s">
        <v>20</v>
      </c>
    </row>
    <row r="26" spans="1:44">
      <c r="A26" s="76"/>
      <c r="B26" s="77"/>
      <c r="C26" s="67"/>
      <c r="D26" s="68"/>
      <c r="E26" s="68">
        <f t="shared" ref="E26" si="10">SUM(G26:X26)</f>
        <v>54</v>
      </c>
      <c r="F26" s="69"/>
      <c r="G26" s="88">
        <v>2</v>
      </c>
      <c r="H26" s="68">
        <v>4</v>
      </c>
      <c r="I26" s="67">
        <v>2</v>
      </c>
      <c r="J26" s="68">
        <v>4</v>
      </c>
      <c r="K26" s="67">
        <v>2</v>
      </c>
      <c r="L26" s="68">
        <v>4</v>
      </c>
      <c r="M26" s="68">
        <v>2</v>
      </c>
      <c r="N26" s="68">
        <v>4</v>
      </c>
      <c r="O26" s="68">
        <v>2</v>
      </c>
      <c r="P26" s="68">
        <v>4</v>
      </c>
      <c r="Q26" s="67">
        <v>2</v>
      </c>
      <c r="R26" s="67">
        <v>4</v>
      </c>
      <c r="S26" s="68">
        <v>2</v>
      </c>
      <c r="T26" s="68">
        <v>4</v>
      </c>
      <c r="U26" s="68">
        <v>2</v>
      </c>
      <c r="V26" s="68">
        <v>4</v>
      </c>
      <c r="W26" s="68">
        <v>2</v>
      </c>
      <c r="X26" s="68">
        <v>4</v>
      </c>
      <c r="Y26" s="68"/>
      <c r="Z26" s="68"/>
      <c r="AA26" s="68"/>
      <c r="AB26" s="68"/>
      <c r="AC26" s="68"/>
      <c r="AD26" s="68"/>
      <c r="AE26" s="70"/>
    </row>
    <row r="27" spans="1:44" ht="19.5" thickBot="1">
      <c r="A27" s="80"/>
      <c r="B27" s="81"/>
      <c r="C27" s="71"/>
      <c r="D27" s="72"/>
      <c r="E27" s="72"/>
      <c r="F27" s="73">
        <f t="shared" ref="F27" si="11">SUM(G27:AD27)</f>
        <v>0</v>
      </c>
      <c r="G27" s="78"/>
      <c r="H27" s="79"/>
      <c r="I27" s="78"/>
      <c r="J27" s="71"/>
      <c r="K27" s="78"/>
      <c r="L27" s="79"/>
      <c r="M27" s="79"/>
      <c r="N27" s="79"/>
      <c r="O27" s="79"/>
      <c r="P27" s="79"/>
      <c r="Q27" s="78"/>
      <c r="R27" s="78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3">
        <v>9</v>
      </c>
    </row>
    <row r="28" spans="1:44" ht="35.25" customHeight="1" thickBot="1">
      <c r="A28" s="159" t="s">
        <v>19</v>
      </c>
      <c r="B28" s="159"/>
      <c r="C28" s="159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</row>
    <row r="29" spans="1:44" s="4" customFormat="1" ht="27" customHeight="1" thickBot="1">
      <c r="A29" s="128" t="s">
        <v>25</v>
      </c>
      <c r="B29" s="128"/>
      <c r="C29" s="128"/>
      <c r="D29" s="128"/>
      <c r="E29" s="128"/>
      <c r="F29" s="128"/>
      <c r="G29" s="128"/>
      <c r="H29" s="128"/>
      <c r="I29" s="128"/>
      <c r="J29" s="128"/>
      <c r="K29" s="129"/>
      <c r="L29" s="129"/>
      <c r="M29" s="129"/>
      <c r="N29" s="129"/>
      <c r="O29" s="129"/>
      <c r="P29" s="129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</row>
    <row r="30" spans="1:44" s="4" customFormat="1" ht="56.25">
      <c r="A30" s="74">
        <v>25</v>
      </c>
      <c r="B30" s="75" t="s">
        <v>26</v>
      </c>
      <c r="C30" s="62">
        <f t="shared" ref="C30" si="12">SUM(D30:F32)</f>
        <v>36</v>
      </c>
      <c r="D30" s="63">
        <f t="shared" ref="D30" si="13">SUM(G30:AD30)</f>
        <v>12</v>
      </c>
      <c r="E30" s="63"/>
      <c r="F30" s="64"/>
      <c r="G30" s="65">
        <v>2</v>
      </c>
      <c r="H30" s="66"/>
      <c r="I30" s="66">
        <v>2</v>
      </c>
      <c r="J30" s="65"/>
      <c r="K30" s="62">
        <v>2</v>
      </c>
      <c r="L30" s="63"/>
      <c r="M30" s="63">
        <v>2</v>
      </c>
      <c r="N30" s="63"/>
      <c r="O30" s="63">
        <v>2</v>
      </c>
      <c r="P30" s="63"/>
      <c r="Q30" s="62">
        <v>2</v>
      </c>
      <c r="R30" s="62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4" t="s">
        <v>27</v>
      </c>
      <c r="AM30" s="11"/>
      <c r="AN30" s="11"/>
      <c r="AO30" s="11"/>
      <c r="AP30" s="11"/>
      <c r="AQ30" s="11"/>
      <c r="AR30" s="11"/>
    </row>
    <row r="31" spans="1:44" s="4" customFormat="1">
      <c r="A31" s="76"/>
      <c r="B31" s="77"/>
      <c r="C31" s="67"/>
      <c r="D31" s="68"/>
      <c r="E31" s="68">
        <f t="shared" ref="E31" si="14">SUM(G31:AD31)</f>
        <v>24</v>
      </c>
      <c r="F31" s="69"/>
      <c r="G31" s="88"/>
      <c r="H31" s="88">
        <v>4</v>
      </c>
      <c r="I31" s="88"/>
      <c r="J31" s="68">
        <v>4</v>
      </c>
      <c r="K31" s="88"/>
      <c r="L31" s="88">
        <v>4</v>
      </c>
      <c r="M31" s="88"/>
      <c r="N31" s="88">
        <v>4</v>
      </c>
      <c r="O31" s="88"/>
      <c r="P31" s="88">
        <v>4</v>
      </c>
      <c r="Q31" s="88"/>
      <c r="R31" s="88">
        <v>4</v>
      </c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70"/>
      <c r="AM31" s="12"/>
      <c r="AN31" s="86"/>
      <c r="AO31" s="158"/>
      <c r="AP31" s="158"/>
      <c r="AQ31" s="11"/>
      <c r="AR31" s="11"/>
    </row>
    <row r="32" spans="1:44" s="4" customFormat="1" ht="19.5" thickBot="1">
      <c r="A32" s="80"/>
      <c r="B32" s="81"/>
      <c r="C32" s="71"/>
      <c r="D32" s="72"/>
      <c r="E32" s="72"/>
      <c r="F32" s="73">
        <f t="shared" ref="F32" si="15">SUM(G32:AD32)</f>
        <v>0</v>
      </c>
      <c r="G32" s="78"/>
      <c r="H32" s="79"/>
      <c r="I32" s="78"/>
      <c r="J32" s="71"/>
      <c r="K32" s="78"/>
      <c r="L32" s="79"/>
      <c r="M32" s="79"/>
      <c r="N32" s="79"/>
      <c r="O32" s="79"/>
      <c r="P32" s="79"/>
      <c r="Q32" s="78"/>
      <c r="R32" s="78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3">
        <v>18</v>
      </c>
      <c r="AM32" s="12"/>
      <c r="AN32" s="86"/>
      <c r="AO32" s="158"/>
      <c r="AP32" s="158"/>
      <c r="AQ32" s="11"/>
      <c r="AR32" s="11"/>
    </row>
    <row r="33" spans="1:44" s="4" customFormat="1" ht="28.5" customHeight="1" thickBot="1">
      <c r="A33" s="128" t="s">
        <v>28</v>
      </c>
      <c r="B33" s="128"/>
      <c r="C33" s="128"/>
      <c r="D33" s="128"/>
      <c r="E33" s="128"/>
      <c r="F33" s="128"/>
      <c r="G33" s="128"/>
      <c r="H33" s="128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</row>
    <row r="34" spans="1:44" s="4" customFormat="1" ht="56.25">
      <c r="A34" s="74">
        <v>25</v>
      </c>
      <c r="B34" s="75" t="s">
        <v>26</v>
      </c>
      <c r="C34" s="62">
        <f t="shared" ref="C34" si="16">SUM(D34:F36)</f>
        <v>36</v>
      </c>
      <c r="D34" s="63">
        <f t="shared" ref="D34" si="17">SUM(G34:AD34)</f>
        <v>12</v>
      </c>
      <c r="E34" s="63"/>
      <c r="F34" s="64"/>
      <c r="G34" s="65">
        <v>2</v>
      </c>
      <c r="H34" s="125"/>
      <c r="I34" s="161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3"/>
      <c r="U34" s="62">
        <v>2</v>
      </c>
      <c r="V34" s="63">
        <v>2</v>
      </c>
      <c r="W34" s="63">
        <v>2</v>
      </c>
      <c r="X34" s="63"/>
      <c r="Y34" s="63">
        <v>2</v>
      </c>
      <c r="Z34" s="63"/>
      <c r="AA34" s="63">
        <v>2</v>
      </c>
      <c r="AB34" s="64"/>
      <c r="AC34" s="62"/>
      <c r="AD34" s="63"/>
      <c r="AE34" s="64" t="s">
        <v>27</v>
      </c>
      <c r="AM34" s="11"/>
      <c r="AN34" s="11"/>
      <c r="AO34" s="11"/>
      <c r="AP34" s="11"/>
      <c r="AQ34" s="11"/>
      <c r="AR34" s="11"/>
    </row>
    <row r="35" spans="1:44" s="4" customFormat="1">
      <c r="A35" s="76"/>
      <c r="B35" s="77"/>
      <c r="C35" s="67"/>
      <c r="D35" s="68"/>
      <c r="E35" s="68">
        <f t="shared" ref="E35" si="18">SUM(G35:AD35)</f>
        <v>24</v>
      </c>
      <c r="F35" s="69"/>
      <c r="G35" s="67">
        <v>2</v>
      </c>
      <c r="H35" s="82">
        <v>2</v>
      </c>
      <c r="I35" s="164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65"/>
      <c r="U35" s="67">
        <v>2</v>
      </c>
      <c r="V35" s="68">
        <v>2</v>
      </c>
      <c r="W35" s="68">
        <v>2</v>
      </c>
      <c r="X35" s="68">
        <v>2</v>
      </c>
      <c r="Y35" s="68">
        <v>2</v>
      </c>
      <c r="Z35" s="68">
        <v>2</v>
      </c>
      <c r="AA35" s="68">
        <v>4</v>
      </c>
      <c r="AB35" s="69">
        <v>4</v>
      </c>
      <c r="AC35" s="67"/>
      <c r="AD35" s="68"/>
      <c r="AE35" s="70"/>
      <c r="AM35" s="12"/>
      <c r="AN35" s="86"/>
      <c r="AO35" s="158"/>
      <c r="AP35" s="158"/>
      <c r="AQ35" s="11"/>
      <c r="AR35" s="11"/>
    </row>
    <row r="36" spans="1:44" s="4" customFormat="1" ht="19.5" thickBot="1">
      <c r="A36" s="80"/>
      <c r="B36" s="81"/>
      <c r="C36" s="71"/>
      <c r="D36" s="72"/>
      <c r="E36" s="72"/>
      <c r="F36" s="73">
        <f t="shared" ref="F36" si="19">SUM(G36:AD36)</f>
        <v>0</v>
      </c>
      <c r="G36" s="78"/>
      <c r="H36" s="126"/>
      <c r="I36" s="166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8"/>
      <c r="U36" s="71"/>
      <c r="V36" s="72"/>
      <c r="W36" s="72"/>
      <c r="X36" s="72"/>
      <c r="Y36" s="72"/>
      <c r="Z36" s="72"/>
      <c r="AA36" s="72"/>
      <c r="AB36" s="73"/>
      <c r="AC36" s="78"/>
      <c r="AD36" s="79"/>
      <c r="AE36" s="73">
        <v>18</v>
      </c>
      <c r="AM36" s="12"/>
      <c r="AN36" s="86"/>
      <c r="AO36" s="158"/>
      <c r="AP36" s="158"/>
      <c r="AQ36" s="11"/>
      <c r="AR36" s="11"/>
    </row>
    <row r="37" spans="1:44" ht="19.5" thickBot="1">
      <c r="A37" s="128" t="s">
        <v>34</v>
      </c>
      <c r="B37" s="128"/>
      <c r="C37" s="128"/>
      <c r="D37" s="128"/>
      <c r="E37" s="128"/>
      <c r="F37" s="128"/>
      <c r="G37" s="128"/>
      <c r="H37" s="128"/>
      <c r="I37" s="128"/>
      <c r="J37" s="128"/>
      <c r="K37" s="129"/>
      <c r="L37" s="129"/>
      <c r="M37" s="129"/>
      <c r="N37" s="129"/>
      <c r="O37" s="129"/>
      <c r="P37" s="129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</row>
    <row r="38" spans="1:44" ht="56.25">
      <c r="A38" s="74">
        <v>25</v>
      </c>
      <c r="B38" s="75" t="s">
        <v>32</v>
      </c>
      <c r="C38" s="62">
        <f t="shared" ref="C38" si="20">SUM(D38:F40)</f>
        <v>54</v>
      </c>
      <c r="D38" s="63">
        <f t="shared" ref="D38" si="21">SUM(G38:X38)</f>
        <v>18</v>
      </c>
      <c r="E38" s="63"/>
      <c r="F38" s="64"/>
      <c r="G38" s="65">
        <v>2</v>
      </c>
      <c r="H38" s="66"/>
      <c r="I38" s="66">
        <v>2</v>
      </c>
      <c r="J38" s="65"/>
      <c r="K38" s="62">
        <v>2</v>
      </c>
      <c r="L38" s="63"/>
      <c r="M38" s="63">
        <v>2</v>
      </c>
      <c r="N38" s="63"/>
      <c r="O38" s="63">
        <v>2</v>
      </c>
      <c r="P38" s="63"/>
      <c r="Q38" s="62">
        <v>2</v>
      </c>
      <c r="R38" s="62"/>
      <c r="S38" s="63">
        <v>2</v>
      </c>
      <c r="T38" s="63"/>
      <c r="U38" s="63">
        <v>2</v>
      </c>
      <c r="V38" s="63"/>
      <c r="W38" s="63">
        <v>2</v>
      </c>
      <c r="X38" s="63"/>
      <c r="Y38" s="63"/>
      <c r="Z38" s="63"/>
      <c r="AA38" s="63"/>
      <c r="AB38" s="63"/>
      <c r="AC38" s="63"/>
      <c r="AD38" s="63"/>
      <c r="AE38" s="64" t="s">
        <v>30</v>
      </c>
    </row>
    <row r="39" spans="1:44">
      <c r="A39" s="76"/>
      <c r="B39" s="77"/>
      <c r="C39" s="67"/>
      <c r="D39" s="68"/>
      <c r="E39" s="68">
        <f t="shared" ref="E39" si="22">SUM(G39:X39)</f>
        <v>36</v>
      </c>
      <c r="F39" s="69"/>
      <c r="G39" s="88">
        <v>2</v>
      </c>
      <c r="H39" s="88">
        <v>2</v>
      </c>
      <c r="I39" s="88">
        <v>2</v>
      </c>
      <c r="J39" s="88">
        <v>2</v>
      </c>
      <c r="K39" s="88">
        <v>2</v>
      </c>
      <c r="L39" s="88">
        <v>2</v>
      </c>
      <c r="M39" s="88">
        <v>2</v>
      </c>
      <c r="N39" s="88">
        <v>2</v>
      </c>
      <c r="O39" s="88">
        <v>2</v>
      </c>
      <c r="P39" s="88">
        <v>2</v>
      </c>
      <c r="Q39" s="88">
        <v>2</v>
      </c>
      <c r="R39" s="88">
        <v>2</v>
      </c>
      <c r="S39" s="88">
        <v>2</v>
      </c>
      <c r="T39" s="88">
        <v>2</v>
      </c>
      <c r="U39" s="88">
        <v>2</v>
      </c>
      <c r="V39" s="88">
        <v>2</v>
      </c>
      <c r="W39" s="88">
        <v>2</v>
      </c>
      <c r="X39" s="88">
        <v>2</v>
      </c>
      <c r="Y39" s="68"/>
      <c r="Z39" s="68"/>
      <c r="AA39" s="68"/>
      <c r="AB39" s="68"/>
      <c r="AC39" s="68"/>
      <c r="AD39" s="68"/>
      <c r="AE39" s="70"/>
    </row>
    <row r="40" spans="1:44" ht="19.5" thickBot="1">
      <c r="A40" s="80"/>
      <c r="B40" s="81"/>
      <c r="C40" s="71"/>
      <c r="D40" s="72"/>
      <c r="E40" s="72"/>
      <c r="F40" s="73">
        <f t="shared" ref="F40" si="23">SUM(G40:X40)</f>
        <v>0</v>
      </c>
      <c r="G40" s="78"/>
      <c r="H40" s="79"/>
      <c r="I40" s="78"/>
      <c r="J40" s="71"/>
      <c r="K40" s="78"/>
      <c r="L40" s="79"/>
      <c r="M40" s="79"/>
      <c r="N40" s="79"/>
      <c r="O40" s="79"/>
      <c r="P40" s="79"/>
      <c r="Q40" s="78"/>
      <c r="R40" s="78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3">
        <v>36</v>
      </c>
    </row>
    <row r="41" spans="1:44" ht="19.5" thickBot="1">
      <c r="A41" s="159" t="s">
        <v>35</v>
      </c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</row>
    <row r="42" spans="1:44" ht="19.5" thickBot="1">
      <c r="A42" s="128" t="s">
        <v>38</v>
      </c>
      <c r="B42" s="128"/>
      <c r="C42" s="128"/>
      <c r="D42" s="128"/>
      <c r="E42" s="128"/>
      <c r="F42" s="128"/>
      <c r="G42" s="128"/>
      <c r="H42" s="128"/>
      <c r="I42" s="128"/>
      <c r="J42" s="128"/>
      <c r="K42" s="129"/>
      <c r="L42" s="129"/>
      <c r="M42" s="129"/>
      <c r="N42" s="129"/>
      <c r="O42" s="129"/>
      <c r="P42" s="129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</row>
    <row r="43" spans="1:44" ht="56.25">
      <c r="A43" s="74">
        <v>25</v>
      </c>
      <c r="B43" s="75" t="s">
        <v>32</v>
      </c>
      <c r="C43" s="62">
        <f t="shared" ref="C43" si="24">SUM(D43:F45)</f>
        <v>36</v>
      </c>
      <c r="D43" s="63">
        <f t="shared" ref="D43" si="25">SUM(G43:AD43)</f>
        <v>18</v>
      </c>
      <c r="E43" s="63"/>
      <c r="F43" s="64"/>
      <c r="G43" s="65">
        <v>2</v>
      </c>
      <c r="H43" s="66"/>
      <c r="I43" s="66">
        <v>2</v>
      </c>
      <c r="J43" s="65"/>
      <c r="K43" s="62">
        <v>2</v>
      </c>
      <c r="L43" s="63"/>
      <c r="M43" s="63">
        <v>2</v>
      </c>
      <c r="N43" s="63"/>
      <c r="O43" s="63">
        <v>2</v>
      </c>
      <c r="P43" s="63"/>
      <c r="Q43" s="62">
        <v>2</v>
      </c>
      <c r="R43" s="62"/>
      <c r="S43" s="63">
        <v>2</v>
      </c>
      <c r="T43" s="63"/>
      <c r="U43" s="63">
        <v>2</v>
      </c>
      <c r="V43" s="63"/>
      <c r="W43" s="63">
        <v>2</v>
      </c>
      <c r="X43" s="63"/>
      <c r="Y43" s="63"/>
      <c r="Z43" s="63"/>
      <c r="AA43" s="63"/>
      <c r="AB43" s="63"/>
      <c r="AC43" s="63"/>
      <c r="AD43" s="63"/>
      <c r="AE43" s="64" t="s">
        <v>36</v>
      </c>
    </row>
    <row r="44" spans="1:44">
      <c r="A44" s="76"/>
      <c r="B44" s="77"/>
      <c r="C44" s="67"/>
      <c r="D44" s="68"/>
      <c r="E44" s="68">
        <f t="shared" ref="E44" si="26">SUM(G44:AD44)</f>
        <v>18</v>
      </c>
      <c r="F44" s="69"/>
      <c r="G44" s="88"/>
      <c r="H44" s="68">
        <v>2</v>
      </c>
      <c r="I44" s="67"/>
      <c r="J44" s="68">
        <v>2</v>
      </c>
      <c r="K44" s="67"/>
      <c r="L44" s="68">
        <v>2</v>
      </c>
      <c r="M44" s="68"/>
      <c r="N44" s="68">
        <v>2</v>
      </c>
      <c r="O44" s="68"/>
      <c r="P44" s="68">
        <v>2</v>
      </c>
      <c r="Q44" s="67"/>
      <c r="R44" s="67">
        <v>2</v>
      </c>
      <c r="S44" s="68"/>
      <c r="T44" s="68">
        <v>2</v>
      </c>
      <c r="U44" s="68"/>
      <c r="V44" s="68">
        <v>2</v>
      </c>
      <c r="W44" s="68"/>
      <c r="X44" s="68">
        <v>2</v>
      </c>
      <c r="Y44" s="68"/>
      <c r="Z44" s="68"/>
      <c r="AA44" s="68"/>
      <c r="AB44" s="68"/>
      <c r="AC44" s="68"/>
      <c r="AD44" s="68"/>
      <c r="AE44" s="70" t="s">
        <v>37</v>
      </c>
    </row>
    <row r="45" spans="1:44" ht="19.5" thickBot="1">
      <c r="A45" s="80"/>
      <c r="B45" s="81"/>
      <c r="C45" s="71"/>
      <c r="D45" s="72"/>
      <c r="E45" s="72"/>
      <c r="F45" s="73">
        <f t="shared" ref="F45" si="27">SUM(G45:AD45)</f>
        <v>0</v>
      </c>
      <c r="G45" s="78"/>
      <c r="H45" s="79"/>
      <c r="I45" s="78"/>
      <c r="J45" s="71"/>
      <c r="K45" s="78"/>
      <c r="L45" s="79"/>
      <c r="M45" s="79"/>
      <c r="N45" s="79"/>
      <c r="O45" s="79"/>
      <c r="P45" s="79"/>
      <c r="Q45" s="78"/>
      <c r="R45" s="78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3">
        <v>36</v>
      </c>
    </row>
    <row r="46" spans="1:44" ht="19.5" thickBot="1">
      <c r="A46" s="128" t="s">
        <v>40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  <c r="L46" s="129"/>
      <c r="M46" s="129"/>
      <c r="N46" s="129"/>
      <c r="O46" s="129"/>
      <c r="P46" s="129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</row>
    <row r="47" spans="1:44" ht="37.5">
      <c r="A47" s="74">
        <v>25</v>
      </c>
      <c r="B47" s="75" t="s">
        <v>39</v>
      </c>
      <c r="C47" s="62">
        <f t="shared" ref="C47" si="28">SUM(D47:F49)</f>
        <v>54</v>
      </c>
      <c r="D47" s="63">
        <f t="shared" ref="D47" si="29">SUM(G47:AD47)</f>
        <v>18</v>
      </c>
      <c r="E47" s="63"/>
      <c r="F47" s="64"/>
      <c r="G47" s="65">
        <v>2</v>
      </c>
      <c r="H47" s="65"/>
      <c r="I47" s="65">
        <v>2</v>
      </c>
      <c r="J47" s="65"/>
      <c r="K47" s="65">
        <v>2</v>
      </c>
      <c r="L47" s="65"/>
      <c r="M47" s="65">
        <v>2</v>
      </c>
      <c r="N47" s="65"/>
      <c r="O47" s="65">
        <v>2</v>
      </c>
      <c r="P47" s="65"/>
      <c r="Q47" s="65">
        <v>2</v>
      </c>
      <c r="R47" s="65"/>
      <c r="S47" s="65">
        <v>2</v>
      </c>
      <c r="T47" s="65"/>
      <c r="U47" s="65">
        <v>2</v>
      </c>
      <c r="V47" s="65"/>
      <c r="W47" s="65">
        <v>2</v>
      </c>
      <c r="X47" s="65"/>
      <c r="Y47" s="62"/>
      <c r="Z47" s="63"/>
      <c r="AA47" s="63"/>
      <c r="AB47" s="63"/>
      <c r="AC47" s="63"/>
      <c r="AD47" s="63"/>
      <c r="AE47" s="64" t="s">
        <v>36</v>
      </c>
    </row>
    <row r="48" spans="1:44">
      <c r="A48" s="76"/>
      <c r="B48" s="77"/>
      <c r="C48" s="67"/>
      <c r="D48" s="68"/>
      <c r="E48" s="68">
        <f t="shared" ref="E48" si="30">SUM(G48:AD48)</f>
        <v>36</v>
      </c>
      <c r="F48" s="69"/>
      <c r="G48" s="67"/>
      <c r="H48" s="67">
        <v>4</v>
      </c>
      <c r="I48" s="67"/>
      <c r="J48" s="67">
        <v>4</v>
      </c>
      <c r="K48" s="67"/>
      <c r="L48" s="67">
        <v>4</v>
      </c>
      <c r="M48" s="67"/>
      <c r="N48" s="67">
        <v>4</v>
      </c>
      <c r="O48" s="67"/>
      <c r="P48" s="67">
        <v>4</v>
      </c>
      <c r="Q48" s="67"/>
      <c r="R48" s="67">
        <v>4</v>
      </c>
      <c r="S48" s="67"/>
      <c r="T48" s="67">
        <v>4</v>
      </c>
      <c r="U48" s="67"/>
      <c r="V48" s="67">
        <v>4</v>
      </c>
      <c r="W48" s="67"/>
      <c r="X48" s="67">
        <v>4</v>
      </c>
      <c r="Y48" s="67"/>
      <c r="Z48" s="68"/>
      <c r="AA48" s="68"/>
      <c r="AB48" s="68"/>
      <c r="AC48" s="68"/>
      <c r="AD48" s="68"/>
      <c r="AE48" s="70"/>
    </row>
    <row r="49" spans="1:44" ht="19.5" thickBot="1">
      <c r="A49" s="80"/>
      <c r="B49" s="81"/>
      <c r="C49" s="71"/>
      <c r="D49" s="72"/>
      <c r="E49" s="72"/>
      <c r="F49" s="73">
        <f t="shared" ref="F49" si="31">SUM(G49:AD49)</f>
        <v>0</v>
      </c>
      <c r="G49" s="71"/>
      <c r="H49" s="72"/>
      <c r="I49" s="72"/>
      <c r="J49" s="71"/>
      <c r="K49" s="78"/>
      <c r="L49" s="79"/>
      <c r="M49" s="79"/>
      <c r="N49" s="79"/>
      <c r="O49" s="79"/>
      <c r="P49" s="79"/>
      <c r="Q49" s="78"/>
      <c r="R49" s="78"/>
      <c r="S49" s="79"/>
      <c r="T49" s="79"/>
      <c r="U49" s="79"/>
      <c r="V49" s="79"/>
      <c r="W49" s="79"/>
      <c r="X49" s="79"/>
      <c r="Y49" s="78"/>
      <c r="Z49" s="79"/>
      <c r="AA49" s="79"/>
      <c r="AB49" s="79"/>
      <c r="AC49" s="79"/>
      <c r="AD49" s="79"/>
      <c r="AE49" s="73">
        <v>36</v>
      </c>
    </row>
    <row r="50" spans="1:44" ht="19.5" thickBot="1">
      <c r="A50" s="159" t="s">
        <v>41</v>
      </c>
      <c r="B50" s="159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</row>
    <row r="51" spans="1:44" ht="19.5" thickBot="1">
      <c r="A51" s="128" t="s">
        <v>45</v>
      </c>
      <c r="B51" s="128"/>
      <c r="C51" s="128"/>
      <c r="D51" s="128"/>
      <c r="E51" s="128"/>
      <c r="F51" s="128"/>
      <c r="G51" s="128"/>
      <c r="H51" s="128"/>
      <c r="I51" s="128"/>
      <c r="J51" s="128"/>
      <c r="K51" s="129"/>
      <c r="L51" s="129"/>
      <c r="M51" s="129"/>
      <c r="N51" s="129"/>
      <c r="O51" s="129"/>
      <c r="P51" s="129"/>
      <c r="Q51" s="129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</row>
    <row r="52" spans="1:44" s="4" customFormat="1" ht="56.25">
      <c r="A52" s="74">
        <v>25</v>
      </c>
      <c r="B52" s="75" t="s">
        <v>42</v>
      </c>
      <c r="C52" s="62">
        <f t="shared" ref="C52" si="32">SUM(D52:F54)</f>
        <v>48</v>
      </c>
      <c r="D52" s="63">
        <f t="shared" ref="D52" si="33">SUM(G52:P52)</f>
        <v>24</v>
      </c>
      <c r="E52" s="63"/>
      <c r="F52" s="64"/>
      <c r="G52" s="65">
        <v>4</v>
      </c>
      <c r="H52" s="66">
        <v>2</v>
      </c>
      <c r="I52" s="66">
        <v>4</v>
      </c>
      <c r="J52" s="65">
        <v>2</v>
      </c>
      <c r="K52" s="62">
        <v>4</v>
      </c>
      <c r="L52" s="63">
        <v>2</v>
      </c>
      <c r="M52" s="63">
        <v>4</v>
      </c>
      <c r="N52" s="63">
        <v>2</v>
      </c>
      <c r="O52" s="63"/>
      <c r="P52" s="169"/>
      <c r="Q52" s="63"/>
      <c r="R52" s="62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4" t="s">
        <v>30</v>
      </c>
      <c r="AM52" s="11"/>
      <c r="AN52" s="11"/>
      <c r="AO52" s="11"/>
      <c r="AP52" s="11"/>
      <c r="AQ52" s="11"/>
      <c r="AR52" s="11"/>
    </row>
    <row r="53" spans="1:44" s="4" customFormat="1">
      <c r="A53" s="76"/>
      <c r="B53" s="77"/>
      <c r="C53" s="67"/>
      <c r="D53" s="68"/>
      <c r="E53" s="68">
        <f t="shared" ref="E53" si="34">SUM(G53:P53)</f>
        <v>24</v>
      </c>
      <c r="F53" s="69"/>
      <c r="G53" s="67">
        <v>2</v>
      </c>
      <c r="H53" s="68">
        <v>4</v>
      </c>
      <c r="I53" s="68">
        <v>2</v>
      </c>
      <c r="J53" s="67">
        <v>4</v>
      </c>
      <c r="K53" s="170">
        <v>2</v>
      </c>
      <c r="L53" s="171">
        <v>4</v>
      </c>
      <c r="M53" s="171">
        <v>2</v>
      </c>
      <c r="N53" s="171">
        <v>4</v>
      </c>
      <c r="O53" s="68"/>
      <c r="P53" s="172"/>
      <c r="Q53" s="68"/>
      <c r="R53" s="67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70" t="s">
        <v>37</v>
      </c>
      <c r="AM53" s="12"/>
      <c r="AN53" s="86"/>
      <c r="AO53" s="158"/>
      <c r="AP53" s="158"/>
      <c r="AQ53" s="11"/>
      <c r="AR53" s="11"/>
    </row>
    <row r="54" spans="1:44" s="4" customFormat="1" ht="19.5" thickBot="1">
      <c r="A54" s="80"/>
      <c r="B54" s="81"/>
      <c r="C54" s="71"/>
      <c r="D54" s="72"/>
      <c r="E54" s="72"/>
      <c r="F54" s="73">
        <f t="shared" ref="F54" si="35">SUM(G54:P54)</f>
        <v>0</v>
      </c>
      <c r="G54" s="71"/>
      <c r="H54" s="72"/>
      <c r="I54" s="72"/>
      <c r="J54" s="71"/>
      <c r="K54" s="78"/>
      <c r="L54" s="79"/>
      <c r="M54" s="79"/>
      <c r="N54" s="79"/>
      <c r="O54" s="79"/>
      <c r="P54" s="126"/>
      <c r="Q54" s="79"/>
      <c r="R54" s="78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3">
        <v>27</v>
      </c>
      <c r="AM54" s="12"/>
      <c r="AN54" s="86"/>
      <c r="AO54" s="158"/>
      <c r="AP54" s="158"/>
      <c r="AQ54" s="11"/>
      <c r="AR54" s="11"/>
    </row>
    <row r="55" spans="1:44" s="4" customFormat="1" ht="93.75">
      <c r="A55" s="74">
        <v>25</v>
      </c>
      <c r="B55" s="75" t="s">
        <v>43</v>
      </c>
      <c r="C55" s="62">
        <f t="shared" ref="C55" si="36">SUM(D55:F57)</f>
        <v>16</v>
      </c>
      <c r="D55" s="63">
        <f t="shared" ref="D55" si="37">SUM(G55:P55)</f>
        <v>8</v>
      </c>
      <c r="E55" s="63"/>
      <c r="F55" s="64"/>
      <c r="G55" s="65">
        <v>2</v>
      </c>
      <c r="H55" s="66"/>
      <c r="I55" s="66">
        <v>2</v>
      </c>
      <c r="J55" s="65"/>
      <c r="K55" s="62">
        <v>2</v>
      </c>
      <c r="L55" s="63"/>
      <c r="M55" s="63">
        <v>2</v>
      </c>
      <c r="N55" s="63"/>
      <c r="O55" s="63"/>
      <c r="P55" s="169"/>
      <c r="Q55" s="63"/>
      <c r="R55" s="62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4" t="s">
        <v>27</v>
      </c>
      <c r="AM55" s="11"/>
      <c r="AN55" s="11"/>
      <c r="AO55" s="11"/>
      <c r="AP55" s="11"/>
      <c r="AQ55" s="11"/>
      <c r="AR55" s="11"/>
    </row>
    <row r="56" spans="1:44" s="4" customFormat="1" ht="19.5">
      <c r="A56" s="76"/>
      <c r="B56" s="173" t="s">
        <v>44</v>
      </c>
      <c r="C56" s="67"/>
      <c r="D56" s="68"/>
      <c r="E56" s="68">
        <f t="shared" ref="E56" si="38">SUM(G56:P56)</f>
        <v>8</v>
      </c>
      <c r="F56" s="69"/>
      <c r="G56" s="67"/>
      <c r="H56" s="68">
        <v>2</v>
      </c>
      <c r="I56" s="68"/>
      <c r="J56" s="67">
        <v>2</v>
      </c>
      <c r="K56" s="170"/>
      <c r="L56" s="171">
        <v>2</v>
      </c>
      <c r="M56" s="171"/>
      <c r="N56" s="171">
        <v>2</v>
      </c>
      <c r="O56" s="171"/>
      <c r="P56" s="174"/>
      <c r="Q56" s="68"/>
      <c r="R56" s="67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70"/>
      <c r="AM56" s="12"/>
      <c r="AN56" s="86"/>
      <c r="AO56" s="158"/>
      <c r="AP56" s="158"/>
      <c r="AQ56" s="11"/>
      <c r="AR56" s="11"/>
    </row>
    <row r="57" spans="1:44" s="4" customFormat="1" ht="19.5" thickBot="1">
      <c r="A57" s="80"/>
      <c r="B57" s="81"/>
      <c r="C57" s="71"/>
      <c r="D57" s="72"/>
      <c r="E57" s="72"/>
      <c r="F57" s="73">
        <f t="shared" ref="F57" si="39">SUM(G57:P57)</f>
        <v>0</v>
      </c>
      <c r="G57" s="71"/>
      <c r="H57" s="72"/>
      <c r="I57" s="72"/>
      <c r="J57" s="71"/>
      <c r="K57" s="71"/>
      <c r="L57" s="72"/>
      <c r="M57" s="72"/>
      <c r="N57" s="72"/>
      <c r="O57" s="72"/>
      <c r="P57" s="175"/>
      <c r="Q57" s="79"/>
      <c r="R57" s="78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3">
        <v>9</v>
      </c>
      <c r="AM57" s="12"/>
      <c r="AN57" s="86"/>
      <c r="AO57" s="158"/>
      <c r="AP57" s="158"/>
      <c r="AQ57" s="11"/>
      <c r="AR57" s="11"/>
    </row>
  </sheetData>
  <mergeCells count="44">
    <mergeCell ref="A50:AE50"/>
    <mergeCell ref="AO53:AP53"/>
    <mergeCell ref="AO54:AP54"/>
    <mergeCell ref="AO56:AP56"/>
    <mergeCell ref="AO57:AP57"/>
    <mergeCell ref="A51:AE51"/>
    <mergeCell ref="A41:AE41"/>
    <mergeCell ref="A42:AE42"/>
    <mergeCell ref="A37:AE37"/>
    <mergeCell ref="A20:AE20"/>
    <mergeCell ref="AO22:AP22"/>
    <mergeCell ref="AO23:AP23"/>
    <mergeCell ref="M21:Y23"/>
    <mergeCell ref="A33:AE33"/>
    <mergeCell ref="AO35:AP35"/>
    <mergeCell ref="A24:AE24"/>
    <mergeCell ref="AO36:AP36"/>
    <mergeCell ref="I34:T36"/>
    <mergeCell ref="AE5:AE12"/>
    <mergeCell ref="A3:C3"/>
    <mergeCell ref="AO31:AP31"/>
    <mergeCell ref="AO32:AP32"/>
    <mergeCell ref="A29:AE29"/>
    <mergeCell ref="A28:AE28"/>
    <mergeCell ref="A15:AE15"/>
    <mergeCell ref="L13:AO13"/>
    <mergeCell ref="A14:AE14"/>
    <mergeCell ref="A19:AE19"/>
    <mergeCell ref="A46:AE46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G5:H5"/>
    <mergeCell ref="D7:F7"/>
    <mergeCell ref="U5:X5"/>
  </mergeCells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2021-10-27T11:43:14Z</dcterms:modified>
</cp:coreProperties>
</file>