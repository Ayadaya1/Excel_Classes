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Кафедральные сетки\"/>
    </mc:Choice>
  </mc:AlternateContent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52511"/>
</workbook>
</file>

<file path=xl/calcChain.xml><?xml version="1.0" encoding="utf-8"?>
<calcChain xmlns="http://schemas.openxmlformats.org/spreadsheetml/2006/main">
  <c r="F94" i="1" l="1"/>
  <c r="E93" i="1"/>
  <c r="D92" i="1"/>
  <c r="C92" i="1"/>
  <c r="F90" i="1" l="1"/>
  <c r="E89" i="1"/>
  <c r="D88" i="1"/>
  <c r="C88" i="1" s="1"/>
  <c r="F87" i="1"/>
  <c r="E86" i="1"/>
  <c r="D85" i="1"/>
  <c r="C85" i="1" s="1"/>
  <c r="F83" i="1" l="1"/>
  <c r="E82" i="1"/>
  <c r="D81" i="1"/>
  <c r="C81" i="1"/>
  <c r="F79" i="1" l="1"/>
  <c r="E78" i="1"/>
  <c r="D77" i="1"/>
  <c r="C77" i="1"/>
  <c r="F74" i="1" l="1"/>
  <c r="E73" i="1"/>
  <c r="D72" i="1"/>
  <c r="C72" i="1"/>
  <c r="F70" i="1" l="1"/>
  <c r="E69" i="1"/>
  <c r="D68" i="1"/>
  <c r="C68" i="1"/>
  <c r="F66" i="1" l="1"/>
  <c r="E65" i="1"/>
  <c r="D64" i="1"/>
  <c r="C64" i="1"/>
  <c r="F63" i="1"/>
  <c r="E62" i="1"/>
  <c r="D61" i="1"/>
  <c r="C61" i="1"/>
  <c r="F60" i="1"/>
  <c r="E59" i="1"/>
  <c r="D58" i="1"/>
  <c r="C58" i="1"/>
  <c r="F56" i="1" l="1"/>
  <c r="E55" i="1"/>
  <c r="D54" i="1"/>
  <c r="C54" i="1"/>
  <c r="F51" i="1" l="1"/>
  <c r="E50" i="1"/>
  <c r="D49" i="1"/>
  <c r="C49" i="1"/>
  <c r="F47" i="1" l="1"/>
  <c r="E46" i="1"/>
  <c r="D45" i="1"/>
  <c r="C45" i="1"/>
  <c r="F44" i="1"/>
  <c r="E43" i="1"/>
  <c r="D42" i="1"/>
  <c r="C42" i="1"/>
  <c r="F41" i="1"/>
  <c r="E40" i="1"/>
  <c r="D39" i="1"/>
  <c r="C39" i="1"/>
  <c r="F38" i="1"/>
  <c r="E37" i="1"/>
  <c r="D36" i="1"/>
  <c r="C36" i="1"/>
  <c r="F34" i="1" l="1"/>
  <c r="E33" i="1"/>
  <c r="D32" i="1"/>
  <c r="C32" i="1"/>
  <c r="F29" i="1" l="1"/>
  <c r="E28" i="1"/>
  <c r="D27" i="1"/>
  <c r="C27" i="1"/>
  <c r="F25" i="1" l="1"/>
  <c r="E24" i="1"/>
  <c r="D23" i="1"/>
  <c r="C23" i="1"/>
  <c r="F22" i="1"/>
  <c r="E21" i="1"/>
  <c r="D20" i="1"/>
  <c r="C20" i="1"/>
  <c r="F18" i="1" l="1"/>
  <c r="E17" i="1"/>
  <c r="D16" i="1"/>
  <c r="C16" i="1"/>
</calcChain>
</file>

<file path=xl/sharedStrings.xml><?xml version="1.0" encoding="utf-8"?>
<sst xmlns="http://schemas.openxmlformats.org/spreadsheetml/2006/main" count="85" uniqueCount="61">
  <si>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</si>
  <si>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</si>
  <si>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</si>
  <si>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</si>
  <si>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</si>
  <si>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</si>
  <si>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</si>
  <si>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</si>
  <si>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</si>
  <si>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</si>
  <si>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</si>
  <si>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</si>
  <si>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</si>
  <si>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</si>
  <si>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</si>
  <si>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</si>
  <si>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</si>
  <si>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</si>
  <si>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Зачет</t>
  </si>
  <si>
    <t>Экзамен</t>
  </si>
  <si>
    <t xml:space="preserve">               2 КУРС</t>
  </si>
  <si>
    <t xml:space="preserve">Экзамен </t>
  </si>
  <si>
    <t>Факультатив</t>
  </si>
  <si>
    <t>Дифф. зачет</t>
  </si>
  <si>
    <t xml:space="preserve">                                       Дисциплины 309 (ОБПрВТ)</t>
  </si>
  <si>
    <t xml:space="preserve">                                       Дисциплины 304 (ЭПОВТ)</t>
  </si>
  <si>
    <t xml:space="preserve">Дифф.зачет </t>
  </si>
  <si>
    <t xml:space="preserve">               3 КУРС</t>
  </si>
  <si>
    <t>КР</t>
  </si>
  <si>
    <t>Дифф.зачет</t>
  </si>
  <si>
    <t>факультатив</t>
  </si>
  <si>
    <t xml:space="preserve">               4 КУРС</t>
  </si>
  <si>
    <t xml:space="preserve">                                            Кафедра № 28</t>
  </si>
  <si>
    <t>Дисциплины кафедры № 28</t>
  </si>
  <si>
    <t>Организация добровольческой (волонтерской) деятельности и взаимодействие с социально ориентированными некоммерческими организациями</t>
  </si>
  <si>
    <t xml:space="preserve">                                       Дисциплины 315 (МВТ)</t>
  </si>
  <si>
    <t>Основы бизнес-процессного управления на воздушном транспорте</t>
  </si>
  <si>
    <t>Основы таможенного дела</t>
  </si>
  <si>
    <t xml:space="preserve">                                       Дисциплины 319 (ОБПрВТ)</t>
  </si>
  <si>
    <t xml:space="preserve">                                       Дисциплины 318 (УПО)</t>
  </si>
  <si>
    <t>Коммерческая деятельность на воздушном транспорте</t>
  </si>
  <si>
    <t xml:space="preserve">                                       Дисциплины 305 (МВТ)</t>
  </si>
  <si>
    <t>Маркетинг</t>
  </si>
  <si>
    <t>Основы организации неавиационной деятельности на воздушном транспорте</t>
  </si>
  <si>
    <t>Экономическая география</t>
  </si>
  <si>
    <t>Региональная среда авиационного бизнеса</t>
  </si>
  <si>
    <t>Автоматизированные системы бронирования и продажи авиаперевозок</t>
  </si>
  <si>
    <t xml:space="preserve">                                       Дисциплины 291, 292 (ОПУВТ)</t>
  </si>
  <si>
    <t>Основы экономического анализа бизнес-процессов</t>
  </si>
  <si>
    <t>Операционные бизнес-процессы на воздушном транспорте</t>
  </si>
  <si>
    <t>Основы маркетинговых исследований в авиационном бизнесе</t>
  </si>
  <si>
    <t xml:space="preserve">                                       Дисциплины 399 (ОБПрВТ)</t>
  </si>
  <si>
    <t>Коммерческая деятельность на транспорте</t>
  </si>
  <si>
    <t xml:space="preserve">                                       Дисциплины 392 (ТЛ)</t>
  </si>
  <si>
    <t xml:space="preserve">                                       Дисциплины 398 (УПО)</t>
  </si>
  <si>
    <t xml:space="preserve">                                       Дисциплины 281, 282 (ОПУВТ)</t>
  </si>
  <si>
    <t xml:space="preserve">                                       Дисциплины 383, 284 (ОрАД)</t>
  </si>
  <si>
    <t>Ценообразование и авиационные тарифы</t>
  </si>
  <si>
    <t>Моделирование бизнес-процессов на воздушном транспорте</t>
  </si>
  <si>
    <t xml:space="preserve">                                       Дисциплины 389 (ОБПрВТ)</t>
  </si>
  <si>
    <t xml:space="preserve">                                       Дисциплины 382, 382а (ТЛ)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</si>
</sst>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63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5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3" fillId="3" borderId="3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3" fillId="0" borderId="28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4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54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94"/>
  <sheetViews>
    <sheetView tabSelected="1" topLeftCell="A70" zoomScale="70" zoomScaleNormal="70" workbookViewId="0">
      <selection activeCell="AI88" sqref="AI88"/>
    </sheetView>
  </sheetViews>
  <sheetFormatPr defaultColWidth="9.140625" defaultRowHeight="18.75" x14ac:dyDescent="0.3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 x14ac:dyDescent="0.3">
      <c r="A1" s="107" t="s">
        <v>15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93"/>
    </row>
    <row r="2" spans="1:44" x14ac:dyDescent="0.3">
      <c r="A2" s="108" t="s">
        <v>16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</row>
    <row r="3" spans="1:44" ht="18.75" customHeight="1" x14ac:dyDescent="0.3">
      <c r="A3" s="133"/>
      <c r="B3" s="133"/>
      <c r="C3" s="133"/>
      <c r="H3" s="109" t="s">
        <v>32</v>
      </c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</row>
    <row r="4" spans="1:44" ht="19.5" thickBot="1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 x14ac:dyDescent="0.35">
      <c r="A5" s="115" t="s">
        <v>1</v>
      </c>
      <c r="B5" s="118" t="s">
        <v>0</v>
      </c>
      <c r="C5" s="110" t="s">
        <v>4</v>
      </c>
      <c r="D5" s="111"/>
      <c r="E5" s="111"/>
      <c r="F5" s="111"/>
      <c r="G5" s="134" t="s">
        <v>9</v>
      </c>
      <c r="H5" s="132"/>
      <c r="I5" s="124" t="s">
        <v>10</v>
      </c>
      <c r="J5" s="125"/>
      <c r="K5" s="125"/>
      <c r="L5" s="126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24" t="s">
        <v>13</v>
      </c>
      <c r="V5" s="132"/>
      <c r="W5" s="125"/>
      <c r="X5" s="125"/>
      <c r="Y5" s="54"/>
      <c r="Z5" s="124" t="s">
        <v>14</v>
      </c>
      <c r="AA5" s="125"/>
      <c r="AB5" s="125"/>
      <c r="AC5" s="125"/>
      <c r="AD5" s="61"/>
      <c r="AE5" s="118" t="s">
        <v>5</v>
      </c>
    </row>
    <row r="6" spans="1:44" ht="20.100000000000001" customHeight="1" thickBot="1" x14ac:dyDescent="0.35">
      <c r="A6" s="116"/>
      <c r="B6" s="119"/>
      <c r="C6" s="112"/>
      <c r="D6" s="113"/>
      <c r="E6" s="113"/>
      <c r="F6" s="114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19"/>
    </row>
    <row r="7" spans="1:44" ht="20.100000000000001" customHeight="1" thickBot="1" x14ac:dyDescent="0.35">
      <c r="A7" s="116"/>
      <c r="B7" s="119"/>
      <c r="C7" s="121" t="s">
        <v>2</v>
      </c>
      <c r="D7" s="129" t="s">
        <v>3</v>
      </c>
      <c r="E7" s="130"/>
      <c r="F7" s="131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19"/>
    </row>
    <row r="8" spans="1:44" ht="20.100000000000001" customHeight="1" x14ac:dyDescent="0.3">
      <c r="A8" s="116"/>
      <c r="B8" s="119"/>
      <c r="C8" s="122"/>
      <c r="D8" s="127" t="s">
        <v>6</v>
      </c>
      <c r="E8" s="122" t="s">
        <v>7</v>
      </c>
      <c r="F8" s="122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19"/>
    </row>
    <row r="9" spans="1:44" s="4" customFormat="1" ht="20.100000000000001" customHeight="1" thickBot="1" x14ac:dyDescent="0.35">
      <c r="A9" s="116"/>
      <c r="B9" s="119"/>
      <c r="C9" s="122"/>
      <c r="D9" s="127"/>
      <c r="E9" s="122"/>
      <c r="F9" s="122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14"/>
    </row>
    <row r="10" spans="1:44" s="4" customFormat="1" ht="20.100000000000001" customHeight="1" x14ac:dyDescent="0.3">
      <c r="A10" s="116"/>
      <c r="B10" s="119"/>
      <c r="C10" s="122"/>
      <c r="D10" s="127"/>
      <c r="E10" s="122"/>
      <c r="F10" s="122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19"/>
    </row>
    <row r="11" spans="1:44" s="4" customFormat="1" ht="20.100000000000001" customHeight="1" thickBot="1" x14ac:dyDescent="0.35">
      <c r="A11" s="116"/>
      <c r="B11" s="119"/>
      <c r="C11" s="122"/>
      <c r="D11" s="127"/>
      <c r="E11" s="122"/>
      <c r="F11" s="122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19"/>
    </row>
    <row r="12" spans="1:44" s="4" customFormat="1" ht="20.100000000000001" customHeight="1" thickBot="1" x14ac:dyDescent="0.35">
      <c r="A12" s="117"/>
      <c r="B12" s="120"/>
      <c r="C12" s="123"/>
      <c r="D12" s="128"/>
      <c r="E12" s="123"/>
      <c r="F12" s="123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20"/>
    </row>
    <row r="13" spans="1:44" s="4" customFormat="1" ht="35.25" customHeight="1" x14ac:dyDescent="0.3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35" t="s">
        <v>33</v>
      </c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</row>
    <row r="14" spans="1:44" s="4" customFormat="1" ht="19.5" customHeight="1" thickBot="1" x14ac:dyDescent="0.35">
      <c r="A14" s="106" t="s">
        <v>17</v>
      </c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M14" s="12"/>
      <c r="AN14" s="96"/>
      <c r="AO14" s="97"/>
      <c r="AP14" s="97"/>
      <c r="AQ14" s="11"/>
      <c r="AR14" s="11"/>
    </row>
    <row r="15" spans="1:44" s="4" customFormat="1" ht="19.5" thickBot="1" x14ac:dyDescent="0.35">
      <c r="A15" s="102" t="s">
        <v>35</v>
      </c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4"/>
      <c r="AM15" s="11"/>
      <c r="AN15" s="11"/>
      <c r="AO15" s="11"/>
      <c r="AP15" s="11"/>
      <c r="AQ15" s="11"/>
      <c r="AR15" s="11"/>
    </row>
    <row r="16" spans="1:44" ht="178.5" customHeight="1" x14ac:dyDescent="0.3">
      <c r="A16" s="82">
        <v>28</v>
      </c>
      <c r="B16" s="83" t="s">
        <v>34</v>
      </c>
      <c r="C16" s="64">
        <f t="shared" ref="C16" si="0">SUM(D16:F18)</f>
        <v>36</v>
      </c>
      <c r="D16" s="65">
        <f t="shared" ref="D16" si="1">SUM(G16:X16)</f>
        <v>18</v>
      </c>
      <c r="E16" s="65"/>
      <c r="F16" s="66"/>
      <c r="G16" s="67">
        <v>2</v>
      </c>
      <c r="H16" s="67"/>
      <c r="I16" s="67">
        <v>2</v>
      </c>
      <c r="J16" s="67"/>
      <c r="K16" s="67">
        <v>2</v>
      </c>
      <c r="L16" s="67"/>
      <c r="M16" s="67">
        <v>2</v>
      </c>
      <c r="N16" s="67"/>
      <c r="O16" s="67">
        <v>2</v>
      </c>
      <c r="P16" s="67"/>
      <c r="Q16" s="67">
        <v>2</v>
      </c>
      <c r="R16" s="67"/>
      <c r="S16" s="67">
        <v>2</v>
      </c>
      <c r="T16" s="67"/>
      <c r="U16" s="67">
        <v>2</v>
      </c>
      <c r="V16" s="67"/>
      <c r="W16" s="67">
        <v>2</v>
      </c>
      <c r="X16" s="66"/>
      <c r="Y16" s="64"/>
      <c r="Z16" s="65"/>
      <c r="AA16" s="65"/>
      <c r="AB16" s="65"/>
      <c r="AC16" s="65"/>
      <c r="AD16" s="65"/>
      <c r="AE16" s="66" t="s">
        <v>18</v>
      </c>
    </row>
    <row r="17" spans="1:44" ht="19.5" x14ac:dyDescent="0.35">
      <c r="A17" s="84"/>
      <c r="B17" s="99" t="s">
        <v>22</v>
      </c>
      <c r="C17" s="71"/>
      <c r="D17" s="72"/>
      <c r="E17" s="72">
        <f t="shared" ref="E17" si="2">SUM(G17:X17)</f>
        <v>18</v>
      </c>
      <c r="F17" s="73"/>
      <c r="G17" s="71"/>
      <c r="H17" s="71">
        <v>2</v>
      </c>
      <c r="I17" s="71"/>
      <c r="J17" s="71">
        <v>2</v>
      </c>
      <c r="K17" s="71"/>
      <c r="L17" s="71">
        <v>2</v>
      </c>
      <c r="M17" s="71"/>
      <c r="N17" s="71">
        <v>2</v>
      </c>
      <c r="O17" s="71"/>
      <c r="P17" s="71">
        <v>2</v>
      </c>
      <c r="Q17" s="71"/>
      <c r="R17" s="71">
        <v>2</v>
      </c>
      <c r="S17" s="71"/>
      <c r="T17" s="71">
        <v>2</v>
      </c>
      <c r="U17" s="71"/>
      <c r="V17" s="71">
        <v>2</v>
      </c>
      <c r="W17" s="71"/>
      <c r="X17" s="73">
        <v>2</v>
      </c>
      <c r="Y17" s="71"/>
      <c r="Z17" s="72"/>
      <c r="AA17" s="72"/>
      <c r="AB17" s="72"/>
      <c r="AC17" s="72"/>
      <c r="AD17" s="72"/>
      <c r="AE17" s="76" t="s">
        <v>28</v>
      </c>
    </row>
    <row r="18" spans="1:44" ht="19.5" thickBot="1" x14ac:dyDescent="0.35">
      <c r="A18" s="98"/>
      <c r="B18" s="89"/>
      <c r="C18" s="79"/>
      <c r="D18" s="80"/>
      <c r="E18" s="80"/>
      <c r="F18" s="81">
        <f t="shared" ref="F18" si="3">SUM(G18:X18)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86"/>
      <c r="R18" s="86"/>
      <c r="S18" s="87"/>
      <c r="T18" s="87"/>
      <c r="U18" s="87"/>
      <c r="V18" s="87"/>
      <c r="W18" s="87"/>
      <c r="X18" s="92"/>
      <c r="Y18" s="86"/>
      <c r="Z18" s="87"/>
      <c r="AA18" s="87"/>
      <c r="AB18" s="87"/>
      <c r="AC18" s="87"/>
      <c r="AD18" s="87"/>
      <c r="AE18" s="81">
        <v>9</v>
      </c>
    </row>
    <row r="19" spans="1:44" s="4" customFormat="1" ht="19.5" thickBot="1" x14ac:dyDescent="0.35">
      <c r="A19" s="102" t="s">
        <v>38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4"/>
      <c r="AM19" s="12"/>
      <c r="AN19" s="96"/>
      <c r="AO19" s="105"/>
      <c r="AP19" s="105"/>
      <c r="AQ19" s="11"/>
      <c r="AR19" s="11"/>
    </row>
    <row r="20" spans="1:44" s="4" customFormat="1" ht="75" x14ac:dyDescent="0.3">
      <c r="A20" s="82">
        <v>28</v>
      </c>
      <c r="B20" s="83" t="s">
        <v>36</v>
      </c>
      <c r="C20" s="64">
        <f t="shared" ref="C20" si="4">SUM(D20:F22)</f>
        <v>108</v>
      </c>
      <c r="D20" s="65">
        <f t="shared" ref="D20" si="5">SUM(G20:X20)</f>
        <v>54</v>
      </c>
      <c r="E20" s="65"/>
      <c r="F20" s="66"/>
      <c r="G20" s="67">
        <v>4</v>
      </c>
      <c r="H20" s="68">
        <v>2</v>
      </c>
      <c r="I20" s="68">
        <v>4</v>
      </c>
      <c r="J20" s="67">
        <v>2</v>
      </c>
      <c r="K20" s="64">
        <v>4</v>
      </c>
      <c r="L20" s="65">
        <v>2</v>
      </c>
      <c r="M20" s="65">
        <v>4</v>
      </c>
      <c r="N20" s="65">
        <v>2</v>
      </c>
      <c r="O20" s="65">
        <v>4</v>
      </c>
      <c r="P20" s="65">
        <v>2</v>
      </c>
      <c r="Q20" s="64">
        <v>4</v>
      </c>
      <c r="R20" s="64">
        <v>2</v>
      </c>
      <c r="S20" s="65">
        <v>4</v>
      </c>
      <c r="T20" s="65">
        <v>2</v>
      </c>
      <c r="U20" s="65">
        <v>4</v>
      </c>
      <c r="V20" s="65">
        <v>2</v>
      </c>
      <c r="W20" s="65">
        <v>4</v>
      </c>
      <c r="X20" s="65">
        <v>2</v>
      </c>
      <c r="Y20" s="64"/>
      <c r="Z20" s="65"/>
      <c r="AA20" s="65"/>
      <c r="AB20" s="65"/>
      <c r="AC20" s="65"/>
      <c r="AD20" s="65"/>
      <c r="AE20" s="66" t="s">
        <v>19</v>
      </c>
      <c r="AM20" s="11"/>
      <c r="AN20" s="11"/>
      <c r="AO20" s="11"/>
      <c r="AP20" s="11"/>
      <c r="AQ20" s="11"/>
      <c r="AR20" s="11"/>
    </row>
    <row r="21" spans="1:44" s="4" customFormat="1" x14ac:dyDescent="0.3">
      <c r="A21" s="84"/>
      <c r="B21" s="85"/>
      <c r="C21" s="71"/>
      <c r="D21" s="72"/>
      <c r="E21" s="72">
        <f t="shared" ref="E21" si="6">SUM(G21:X21)</f>
        <v>54</v>
      </c>
      <c r="F21" s="73"/>
      <c r="G21" s="71">
        <v>2</v>
      </c>
      <c r="H21" s="72">
        <v>4</v>
      </c>
      <c r="I21" s="72">
        <v>2</v>
      </c>
      <c r="J21" s="71">
        <v>4</v>
      </c>
      <c r="K21" s="74">
        <v>2</v>
      </c>
      <c r="L21" s="75">
        <v>4</v>
      </c>
      <c r="M21" s="75">
        <v>2</v>
      </c>
      <c r="N21" s="75">
        <v>4</v>
      </c>
      <c r="O21" s="75">
        <v>2</v>
      </c>
      <c r="P21" s="75">
        <v>4</v>
      </c>
      <c r="Q21" s="71">
        <v>2</v>
      </c>
      <c r="R21" s="71">
        <v>4</v>
      </c>
      <c r="S21" s="72">
        <v>2</v>
      </c>
      <c r="T21" s="72">
        <v>4</v>
      </c>
      <c r="U21" s="72">
        <v>2</v>
      </c>
      <c r="V21" s="72">
        <v>4</v>
      </c>
      <c r="W21" s="72">
        <v>2</v>
      </c>
      <c r="X21" s="72">
        <v>4</v>
      </c>
      <c r="Y21" s="71"/>
      <c r="Z21" s="72"/>
      <c r="AA21" s="72"/>
      <c r="AB21" s="72"/>
      <c r="AC21" s="72"/>
      <c r="AD21" s="72"/>
      <c r="AE21" s="76"/>
      <c r="AM21" s="12"/>
      <c r="AN21" s="96"/>
      <c r="AO21" s="105"/>
      <c r="AP21" s="105"/>
      <c r="AQ21" s="11"/>
      <c r="AR21" s="11"/>
    </row>
    <row r="22" spans="1:44" s="4" customFormat="1" ht="19.5" thickBot="1" x14ac:dyDescent="0.35">
      <c r="A22" s="98"/>
      <c r="B22" s="89"/>
      <c r="C22" s="79"/>
      <c r="D22" s="80"/>
      <c r="E22" s="80"/>
      <c r="F22" s="81">
        <f t="shared" ref="F22" si="7">SUM(G22:X22)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86"/>
      <c r="R22" s="86"/>
      <c r="S22" s="87"/>
      <c r="T22" s="87"/>
      <c r="U22" s="87"/>
      <c r="V22" s="87"/>
      <c r="W22" s="87"/>
      <c r="X22" s="87"/>
      <c r="Y22" s="86"/>
      <c r="Z22" s="87"/>
      <c r="AA22" s="87"/>
      <c r="AB22" s="87"/>
      <c r="AC22" s="87"/>
      <c r="AD22" s="87"/>
      <c r="AE22" s="81">
        <v>36</v>
      </c>
      <c r="AM22" s="12"/>
      <c r="AN22" s="96"/>
      <c r="AO22" s="105"/>
      <c r="AP22" s="105"/>
      <c r="AQ22" s="11"/>
      <c r="AR22" s="11"/>
    </row>
    <row r="23" spans="1:44" ht="37.5" x14ac:dyDescent="0.3">
      <c r="A23" s="82">
        <v>28</v>
      </c>
      <c r="B23" s="83" t="s">
        <v>37</v>
      </c>
      <c r="C23" s="64">
        <f t="shared" ref="C23" si="8">SUM(D23:F25)</f>
        <v>36</v>
      </c>
      <c r="D23" s="65">
        <f t="shared" ref="D23" si="9">SUM(G23:X23)</f>
        <v>18</v>
      </c>
      <c r="E23" s="65"/>
      <c r="F23" s="66"/>
      <c r="G23" s="67">
        <v>2</v>
      </c>
      <c r="H23" s="68"/>
      <c r="I23" s="68">
        <v>2</v>
      </c>
      <c r="J23" s="67"/>
      <c r="K23" s="64">
        <v>2</v>
      </c>
      <c r="L23" s="65"/>
      <c r="M23" s="65">
        <v>2</v>
      </c>
      <c r="N23" s="65"/>
      <c r="O23" s="65">
        <v>2</v>
      </c>
      <c r="P23" s="65"/>
      <c r="Q23" s="64">
        <v>2</v>
      </c>
      <c r="R23" s="64"/>
      <c r="S23" s="65">
        <v>2</v>
      </c>
      <c r="T23" s="65"/>
      <c r="U23" s="65">
        <v>2</v>
      </c>
      <c r="V23" s="65"/>
      <c r="W23" s="65">
        <v>2</v>
      </c>
      <c r="X23" s="65"/>
      <c r="Y23" s="64"/>
      <c r="Z23" s="65"/>
      <c r="AA23" s="65"/>
      <c r="AB23" s="65"/>
      <c r="AC23" s="65"/>
      <c r="AD23" s="65"/>
      <c r="AE23" s="66" t="s">
        <v>29</v>
      </c>
    </row>
    <row r="24" spans="1:44" ht="19.5" x14ac:dyDescent="0.35">
      <c r="A24" s="84"/>
      <c r="B24" s="99" t="s">
        <v>30</v>
      </c>
      <c r="C24" s="71"/>
      <c r="D24" s="72"/>
      <c r="E24" s="72">
        <f t="shared" ref="E24" si="10">SUM(G24:X24)</f>
        <v>18</v>
      </c>
      <c r="F24" s="73"/>
      <c r="G24" s="71"/>
      <c r="H24" s="71">
        <v>2</v>
      </c>
      <c r="I24" s="71"/>
      <c r="J24" s="71">
        <v>2</v>
      </c>
      <c r="K24" s="71"/>
      <c r="L24" s="71">
        <v>2</v>
      </c>
      <c r="M24" s="71"/>
      <c r="N24" s="71">
        <v>2</v>
      </c>
      <c r="O24" s="71"/>
      <c r="P24" s="71">
        <v>2</v>
      </c>
      <c r="Q24" s="71"/>
      <c r="R24" s="71">
        <v>2</v>
      </c>
      <c r="S24" s="71"/>
      <c r="T24" s="71">
        <v>2</v>
      </c>
      <c r="U24" s="71"/>
      <c r="V24" s="71">
        <v>2</v>
      </c>
      <c r="W24" s="71"/>
      <c r="X24" s="72">
        <v>2</v>
      </c>
      <c r="Y24" s="71"/>
      <c r="Z24" s="72"/>
      <c r="AA24" s="72"/>
      <c r="AB24" s="72"/>
      <c r="AC24" s="72"/>
      <c r="AD24" s="72"/>
      <c r="AE24" s="76"/>
    </row>
    <row r="25" spans="1:44" ht="19.5" thickBot="1" x14ac:dyDescent="0.35">
      <c r="A25" s="98"/>
      <c r="B25" s="89"/>
      <c r="C25" s="79"/>
      <c r="D25" s="80"/>
      <c r="E25" s="80"/>
      <c r="F25" s="81">
        <f t="shared" ref="F25" si="11">SUM(G25:X25)</f>
        <v>0</v>
      </c>
      <c r="G25" s="79"/>
      <c r="H25" s="80"/>
      <c r="I25" s="80"/>
      <c r="J25" s="79"/>
      <c r="K25" s="79"/>
      <c r="L25" s="80"/>
      <c r="M25" s="80"/>
      <c r="N25" s="80"/>
      <c r="O25" s="80"/>
      <c r="P25" s="80"/>
      <c r="Q25" s="79"/>
      <c r="R25" s="79"/>
      <c r="S25" s="80"/>
      <c r="T25" s="80"/>
      <c r="U25" s="80"/>
      <c r="V25" s="80"/>
      <c r="W25" s="80"/>
      <c r="X25" s="87"/>
      <c r="Y25" s="79"/>
      <c r="Z25" s="80"/>
      <c r="AA25" s="80"/>
      <c r="AB25" s="80"/>
      <c r="AC25" s="80"/>
      <c r="AD25" s="80"/>
      <c r="AE25" s="81">
        <v>9</v>
      </c>
    </row>
    <row r="26" spans="1:44" s="4" customFormat="1" ht="19.5" thickBot="1" x14ac:dyDescent="0.35">
      <c r="A26" s="102" t="s">
        <v>39</v>
      </c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4"/>
      <c r="AM26" s="12"/>
      <c r="AN26" s="96"/>
      <c r="AO26" s="105"/>
      <c r="AP26" s="105"/>
      <c r="AQ26" s="11"/>
      <c r="AR26" s="11"/>
    </row>
    <row r="27" spans="1:44" ht="181.5" customHeight="1" x14ac:dyDescent="0.3">
      <c r="A27" s="151">
        <v>28</v>
      </c>
      <c r="B27" s="83" t="s">
        <v>34</v>
      </c>
      <c r="C27" s="64">
        <f t="shared" ref="C27" si="12">SUM(D27:F29)</f>
        <v>36</v>
      </c>
      <c r="D27" s="65">
        <f t="shared" ref="D27" si="13">SUM(G27:X27)</f>
        <v>18</v>
      </c>
      <c r="E27" s="65"/>
      <c r="F27" s="66"/>
      <c r="G27" s="67">
        <v>2</v>
      </c>
      <c r="H27" s="68"/>
      <c r="I27" s="68">
        <v>2</v>
      </c>
      <c r="J27" s="67"/>
      <c r="K27" s="64">
        <v>2</v>
      </c>
      <c r="L27" s="65"/>
      <c r="M27" s="65">
        <v>2</v>
      </c>
      <c r="N27" s="65"/>
      <c r="O27" s="65">
        <v>2</v>
      </c>
      <c r="P27" s="65"/>
      <c r="Q27" s="64">
        <v>2</v>
      </c>
      <c r="R27" s="64"/>
      <c r="S27" s="65">
        <v>2</v>
      </c>
      <c r="T27" s="65"/>
      <c r="U27" s="65">
        <v>2</v>
      </c>
      <c r="V27" s="65"/>
      <c r="W27" s="65">
        <v>2</v>
      </c>
      <c r="X27" s="66"/>
      <c r="Y27" s="64"/>
      <c r="Z27" s="65"/>
      <c r="AA27" s="65"/>
      <c r="AB27" s="65"/>
      <c r="AC27" s="65"/>
      <c r="AD27" s="65"/>
      <c r="AE27" s="66" t="s">
        <v>18</v>
      </c>
    </row>
    <row r="28" spans="1:44" ht="19.5" x14ac:dyDescent="0.35">
      <c r="A28" s="152"/>
      <c r="B28" s="99" t="s">
        <v>22</v>
      </c>
      <c r="C28" s="71"/>
      <c r="D28" s="72"/>
      <c r="E28" s="72">
        <f t="shared" ref="E28" si="14">SUM(G28:X28)</f>
        <v>18</v>
      </c>
      <c r="F28" s="73"/>
      <c r="G28" s="71"/>
      <c r="H28" s="71">
        <v>2</v>
      </c>
      <c r="I28" s="71"/>
      <c r="J28" s="71">
        <v>2</v>
      </c>
      <c r="K28" s="71"/>
      <c r="L28" s="71">
        <v>2</v>
      </c>
      <c r="M28" s="71"/>
      <c r="N28" s="71">
        <v>2</v>
      </c>
      <c r="O28" s="71"/>
      <c r="P28" s="71">
        <v>2</v>
      </c>
      <c r="Q28" s="71"/>
      <c r="R28" s="71">
        <v>2</v>
      </c>
      <c r="S28" s="71"/>
      <c r="T28" s="71">
        <v>2</v>
      </c>
      <c r="U28" s="71"/>
      <c r="V28" s="71">
        <v>2</v>
      </c>
      <c r="W28" s="71"/>
      <c r="X28" s="90">
        <v>2</v>
      </c>
      <c r="Y28" s="91"/>
      <c r="Z28" s="72"/>
      <c r="AA28" s="72"/>
      <c r="AB28" s="72"/>
      <c r="AC28" s="72"/>
      <c r="AD28" s="72"/>
      <c r="AE28" s="76" t="s">
        <v>28</v>
      </c>
    </row>
    <row r="29" spans="1:44" ht="19.5" thickBot="1" x14ac:dyDescent="0.35">
      <c r="A29" s="152"/>
      <c r="B29" s="89"/>
      <c r="C29" s="79"/>
      <c r="D29" s="80"/>
      <c r="E29" s="80"/>
      <c r="F29" s="81">
        <f t="shared" ref="F29" si="15">SUM(G29:X29)</f>
        <v>0</v>
      </c>
      <c r="G29" s="79"/>
      <c r="H29" s="80"/>
      <c r="I29" s="80"/>
      <c r="J29" s="79"/>
      <c r="K29" s="79"/>
      <c r="L29" s="80"/>
      <c r="M29" s="80"/>
      <c r="N29" s="80"/>
      <c r="O29" s="80"/>
      <c r="P29" s="80"/>
      <c r="Q29" s="86"/>
      <c r="R29" s="86"/>
      <c r="S29" s="87"/>
      <c r="T29" s="87"/>
      <c r="U29" s="87"/>
      <c r="V29" s="87"/>
      <c r="W29" s="87"/>
      <c r="X29" s="92"/>
      <c r="Y29" s="86"/>
      <c r="Z29" s="87"/>
      <c r="AA29" s="87"/>
      <c r="AB29" s="87"/>
      <c r="AC29" s="87"/>
      <c r="AD29" s="87"/>
      <c r="AE29" s="81">
        <v>9</v>
      </c>
    </row>
    <row r="30" spans="1:44" ht="19.5" customHeight="1" thickBot="1" x14ac:dyDescent="0.35">
      <c r="A30" s="106" t="s">
        <v>20</v>
      </c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</row>
    <row r="31" spans="1:44" ht="19.5" thickBot="1" x14ac:dyDescent="0.35">
      <c r="A31" s="102" t="s">
        <v>41</v>
      </c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4"/>
    </row>
    <row r="32" spans="1:44" ht="56.25" x14ac:dyDescent="0.3">
      <c r="A32" s="82">
        <v>28</v>
      </c>
      <c r="B32" s="83" t="s">
        <v>40</v>
      </c>
      <c r="C32" s="64">
        <f t="shared" ref="C32" si="16">SUM(D32:F34)</f>
        <v>54</v>
      </c>
      <c r="D32" s="65">
        <f t="shared" ref="D32" si="17">SUM(G32:X32)</f>
        <v>18</v>
      </c>
      <c r="E32" s="65"/>
      <c r="F32" s="66"/>
      <c r="G32" s="64">
        <v>2</v>
      </c>
      <c r="H32" s="65"/>
      <c r="I32" s="65">
        <v>2</v>
      </c>
      <c r="J32" s="65"/>
      <c r="K32" s="64">
        <v>2</v>
      </c>
      <c r="L32" s="65"/>
      <c r="M32" s="65">
        <v>2</v>
      </c>
      <c r="N32" s="65"/>
      <c r="O32" s="65">
        <v>2</v>
      </c>
      <c r="P32" s="65"/>
      <c r="Q32" s="64">
        <v>2</v>
      </c>
      <c r="R32" s="64"/>
      <c r="S32" s="65">
        <v>2</v>
      </c>
      <c r="T32" s="65"/>
      <c r="U32" s="65">
        <v>2</v>
      </c>
      <c r="V32" s="65"/>
      <c r="W32" s="65">
        <v>2</v>
      </c>
      <c r="X32" s="66"/>
      <c r="Y32" s="64"/>
      <c r="Z32" s="65"/>
      <c r="AA32" s="65"/>
      <c r="AB32" s="65"/>
      <c r="AC32" s="65"/>
      <c r="AD32" s="65"/>
      <c r="AE32" s="66" t="s">
        <v>18</v>
      </c>
    </row>
    <row r="33" spans="1:44" x14ac:dyDescent="0.3">
      <c r="A33" s="84"/>
      <c r="B33" s="85"/>
      <c r="C33" s="71"/>
      <c r="D33" s="72"/>
      <c r="E33" s="72">
        <f t="shared" ref="E33" si="18">SUM(G33:X33)</f>
        <v>36</v>
      </c>
      <c r="F33" s="73"/>
      <c r="G33" s="71">
        <v>2</v>
      </c>
      <c r="H33" s="71">
        <v>2</v>
      </c>
      <c r="I33" s="71">
        <v>2</v>
      </c>
      <c r="J33" s="71">
        <v>2</v>
      </c>
      <c r="K33" s="71">
        <v>2</v>
      </c>
      <c r="L33" s="71">
        <v>2</v>
      </c>
      <c r="M33" s="71">
        <v>2</v>
      </c>
      <c r="N33" s="71">
        <v>2</v>
      </c>
      <c r="O33" s="71">
        <v>2</v>
      </c>
      <c r="P33" s="71">
        <v>2</v>
      </c>
      <c r="Q33" s="71">
        <v>2</v>
      </c>
      <c r="R33" s="71">
        <v>2</v>
      </c>
      <c r="S33" s="71">
        <v>2</v>
      </c>
      <c r="T33" s="71">
        <v>2</v>
      </c>
      <c r="U33" s="71">
        <v>2</v>
      </c>
      <c r="V33" s="71">
        <v>2</v>
      </c>
      <c r="W33" s="71">
        <v>2</v>
      </c>
      <c r="X33" s="73">
        <v>2</v>
      </c>
      <c r="Y33" s="71"/>
      <c r="Z33" s="72"/>
      <c r="AA33" s="72"/>
      <c r="AB33" s="72"/>
      <c r="AC33" s="72"/>
      <c r="AD33" s="72"/>
      <c r="AE33" s="76"/>
    </row>
    <row r="34" spans="1:44" ht="19.5" thickBot="1" x14ac:dyDescent="0.35">
      <c r="A34" s="98"/>
      <c r="B34" s="89"/>
      <c r="C34" s="79"/>
      <c r="D34" s="80"/>
      <c r="E34" s="80"/>
      <c r="F34" s="81">
        <f t="shared" ref="F34" si="19">SUM(G34:X34)</f>
        <v>0</v>
      </c>
      <c r="G34" s="79"/>
      <c r="H34" s="80"/>
      <c r="I34" s="80"/>
      <c r="J34" s="80"/>
      <c r="K34" s="79"/>
      <c r="L34" s="80"/>
      <c r="M34" s="80"/>
      <c r="N34" s="80"/>
      <c r="O34" s="80"/>
      <c r="P34" s="80"/>
      <c r="Q34" s="79"/>
      <c r="R34" s="79"/>
      <c r="S34" s="80"/>
      <c r="T34" s="80"/>
      <c r="U34" s="80"/>
      <c r="V34" s="80"/>
      <c r="W34" s="80"/>
      <c r="X34" s="81"/>
      <c r="Y34" s="86"/>
      <c r="Z34" s="87"/>
      <c r="AA34" s="87"/>
      <c r="AB34" s="87"/>
      <c r="AC34" s="87"/>
      <c r="AD34" s="87"/>
      <c r="AE34" s="81">
        <v>18</v>
      </c>
    </row>
    <row r="35" spans="1:44" s="4" customFormat="1" ht="19.5" thickBot="1" x14ac:dyDescent="0.35">
      <c r="A35" s="102" t="s">
        <v>24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4"/>
      <c r="AM35" s="12"/>
      <c r="AN35" s="96"/>
      <c r="AO35" s="105"/>
      <c r="AP35" s="105"/>
      <c r="AQ35" s="11"/>
      <c r="AR35" s="11"/>
    </row>
    <row r="36" spans="1:44" s="4" customFormat="1" ht="19.5" x14ac:dyDescent="0.3">
      <c r="A36" s="82">
        <v>28</v>
      </c>
      <c r="B36" s="83" t="s">
        <v>42</v>
      </c>
      <c r="C36" s="64">
        <f t="shared" ref="C36" si="20">SUM(D36:F38)</f>
        <v>48</v>
      </c>
      <c r="D36" s="65">
        <f t="shared" ref="D36" si="21">SUM(G36:X36)</f>
        <v>16</v>
      </c>
      <c r="E36" s="65"/>
      <c r="F36" s="66"/>
      <c r="G36" s="67"/>
      <c r="H36" s="68">
        <v>2</v>
      </c>
      <c r="I36" s="68"/>
      <c r="J36" s="67">
        <v>2</v>
      </c>
      <c r="K36" s="64"/>
      <c r="L36" s="65">
        <v>2</v>
      </c>
      <c r="M36" s="65"/>
      <c r="N36" s="65">
        <v>2</v>
      </c>
      <c r="O36" s="65"/>
      <c r="P36" s="65">
        <v>2</v>
      </c>
      <c r="Q36" s="64"/>
      <c r="R36" s="64">
        <v>2</v>
      </c>
      <c r="S36" s="65"/>
      <c r="T36" s="65">
        <v>2</v>
      </c>
      <c r="U36" s="65"/>
      <c r="V36" s="66">
        <v>2</v>
      </c>
      <c r="W36" s="64"/>
      <c r="X36" s="65"/>
      <c r="Y36" s="64"/>
      <c r="Z36" s="65"/>
      <c r="AA36" s="65"/>
      <c r="AB36" s="65"/>
      <c r="AC36" s="65"/>
      <c r="AD36" s="65"/>
      <c r="AE36" s="66" t="s">
        <v>19</v>
      </c>
      <c r="AM36" s="11"/>
      <c r="AN36" s="11"/>
      <c r="AO36" s="11"/>
      <c r="AP36" s="11"/>
      <c r="AQ36" s="11"/>
      <c r="AR36" s="11"/>
    </row>
    <row r="37" spans="1:44" s="4" customFormat="1" x14ac:dyDescent="0.3">
      <c r="A37" s="84"/>
      <c r="B37" s="85"/>
      <c r="C37" s="71"/>
      <c r="D37" s="72"/>
      <c r="E37" s="72">
        <f t="shared" ref="E37" si="22">SUM(G37:X37)</f>
        <v>32</v>
      </c>
      <c r="F37" s="73"/>
      <c r="G37" s="71">
        <v>2</v>
      </c>
      <c r="H37" s="71">
        <v>2</v>
      </c>
      <c r="I37" s="71">
        <v>2</v>
      </c>
      <c r="J37" s="71">
        <v>2</v>
      </c>
      <c r="K37" s="71">
        <v>2</v>
      </c>
      <c r="L37" s="71">
        <v>2</v>
      </c>
      <c r="M37" s="71">
        <v>2</v>
      </c>
      <c r="N37" s="71">
        <v>2</v>
      </c>
      <c r="O37" s="71">
        <v>2</v>
      </c>
      <c r="P37" s="71">
        <v>2</v>
      </c>
      <c r="Q37" s="71">
        <v>2</v>
      </c>
      <c r="R37" s="71">
        <v>2</v>
      </c>
      <c r="S37" s="71">
        <v>2</v>
      </c>
      <c r="T37" s="71">
        <v>2</v>
      </c>
      <c r="U37" s="71">
        <v>2</v>
      </c>
      <c r="V37" s="73">
        <v>2</v>
      </c>
      <c r="W37" s="71"/>
      <c r="X37" s="72"/>
      <c r="Y37" s="71"/>
      <c r="Z37" s="72"/>
      <c r="AA37" s="72"/>
      <c r="AB37" s="72"/>
      <c r="AC37" s="72"/>
      <c r="AD37" s="72"/>
      <c r="AE37" s="76"/>
      <c r="AM37" s="12"/>
      <c r="AN37" s="96"/>
      <c r="AO37" s="105"/>
      <c r="AP37" s="105"/>
      <c r="AQ37" s="11"/>
      <c r="AR37" s="11"/>
    </row>
    <row r="38" spans="1:44" s="4" customFormat="1" ht="19.5" thickBot="1" x14ac:dyDescent="0.35">
      <c r="A38" s="88"/>
      <c r="B38" s="89"/>
      <c r="C38" s="79"/>
      <c r="D38" s="80"/>
      <c r="E38" s="80"/>
      <c r="F38" s="81">
        <f t="shared" ref="F38" si="23">SUM(G38:X38)</f>
        <v>0</v>
      </c>
      <c r="G38" s="79"/>
      <c r="H38" s="80"/>
      <c r="I38" s="80"/>
      <c r="J38" s="79"/>
      <c r="K38" s="79"/>
      <c r="L38" s="80"/>
      <c r="M38" s="80"/>
      <c r="N38" s="80"/>
      <c r="O38" s="80"/>
      <c r="P38" s="80"/>
      <c r="Q38" s="79"/>
      <c r="R38" s="79"/>
      <c r="S38" s="80"/>
      <c r="T38" s="80"/>
      <c r="U38" s="80"/>
      <c r="V38" s="81"/>
      <c r="W38" s="79"/>
      <c r="X38" s="87"/>
      <c r="Y38" s="86"/>
      <c r="Z38" s="87"/>
      <c r="AA38" s="87"/>
      <c r="AB38" s="87"/>
      <c r="AC38" s="87"/>
      <c r="AD38" s="87"/>
      <c r="AE38" s="81">
        <v>36</v>
      </c>
      <c r="AM38" s="12"/>
      <c r="AN38" s="96"/>
      <c r="AO38" s="105"/>
      <c r="AP38" s="105"/>
      <c r="AQ38" s="11"/>
      <c r="AR38" s="11"/>
    </row>
    <row r="39" spans="1:44" s="4" customFormat="1" ht="75" x14ac:dyDescent="0.3">
      <c r="A39" s="82">
        <v>28</v>
      </c>
      <c r="B39" s="83" t="s">
        <v>43</v>
      </c>
      <c r="C39" s="64">
        <f t="shared" ref="C39" si="24">SUM(D39:F41)</f>
        <v>48</v>
      </c>
      <c r="D39" s="65">
        <f t="shared" ref="D39" si="25">SUM(G39:X39)</f>
        <v>16</v>
      </c>
      <c r="E39" s="65"/>
      <c r="F39" s="66"/>
      <c r="G39" s="67">
        <v>2</v>
      </c>
      <c r="H39" s="68"/>
      <c r="I39" s="68">
        <v>2</v>
      </c>
      <c r="J39" s="67"/>
      <c r="K39" s="64">
        <v>2</v>
      </c>
      <c r="L39" s="65"/>
      <c r="M39" s="65">
        <v>2</v>
      </c>
      <c r="N39" s="65"/>
      <c r="O39" s="65">
        <v>2</v>
      </c>
      <c r="P39" s="65"/>
      <c r="Q39" s="64">
        <v>2</v>
      </c>
      <c r="R39" s="64"/>
      <c r="S39" s="65">
        <v>2</v>
      </c>
      <c r="T39" s="65"/>
      <c r="U39" s="65">
        <v>2</v>
      </c>
      <c r="V39" s="66"/>
      <c r="W39" s="64"/>
      <c r="X39" s="65"/>
      <c r="Y39" s="64"/>
      <c r="Z39" s="65"/>
      <c r="AA39" s="65"/>
      <c r="AB39" s="65"/>
      <c r="AC39" s="65"/>
      <c r="AD39" s="65"/>
      <c r="AE39" s="66" t="s">
        <v>19</v>
      </c>
      <c r="AM39" s="11"/>
      <c r="AN39" s="11"/>
      <c r="AO39" s="11"/>
      <c r="AP39" s="11"/>
      <c r="AQ39" s="11"/>
      <c r="AR39" s="11"/>
    </row>
    <row r="40" spans="1:44" s="4" customFormat="1" x14ac:dyDescent="0.3">
      <c r="A40" s="84"/>
      <c r="B40" s="85"/>
      <c r="C40" s="71"/>
      <c r="D40" s="72"/>
      <c r="E40" s="72">
        <f t="shared" ref="E40" si="26">SUM(G40:X40)</f>
        <v>32</v>
      </c>
      <c r="F40" s="73"/>
      <c r="G40" s="71">
        <v>2</v>
      </c>
      <c r="H40" s="71">
        <v>2</v>
      </c>
      <c r="I40" s="71">
        <v>2</v>
      </c>
      <c r="J40" s="71">
        <v>2</v>
      </c>
      <c r="K40" s="71">
        <v>2</v>
      </c>
      <c r="L40" s="71">
        <v>2</v>
      </c>
      <c r="M40" s="71">
        <v>2</v>
      </c>
      <c r="N40" s="71">
        <v>2</v>
      </c>
      <c r="O40" s="71">
        <v>2</v>
      </c>
      <c r="P40" s="71">
        <v>2</v>
      </c>
      <c r="Q40" s="71">
        <v>2</v>
      </c>
      <c r="R40" s="71">
        <v>2</v>
      </c>
      <c r="S40" s="71">
        <v>2</v>
      </c>
      <c r="T40" s="71">
        <v>2</v>
      </c>
      <c r="U40" s="71">
        <v>2</v>
      </c>
      <c r="V40" s="73">
        <v>2</v>
      </c>
      <c r="W40" s="71"/>
      <c r="X40" s="72"/>
      <c r="Y40" s="71"/>
      <c r="Z40" s="72"/>
      <c r="AA40" s="72"/>
      <c r="AB40" s="72"/>
      <c r="AC40" s="72"/>
      <c r="AD40" s="72"/>
      <c r="AE40" s="76"/>
      <c r="AM40" s="12"/>
      <c r="AN40" s="96"/>
      <c r="AO40" s="105"/>
      <c r="AP40" s="105"/>
      <c r="AQ40" s="11"/>
      <c r="AR40" s="11"/>
    </row>
    <row r="41" spans="1:44" s="4" customFormat="1" ht="19.5" thickBot="1" x14ac:dyDescent="0.35">
      <c r="A41" s="88"/>
      <c r="B41" s="89"/>
      <c r="C41" s="79"/>
      <c r="D41" s="80"/>
      <c r="E41" s="80"/>
      <c r="F41" s="81">
        <f t="shared" ref="F41" si="27">SUM(G41:X41)</f>
        <v>0</v>
      </c>
      <c r="G41" s="79"/>
      <c r="H41" s="80"/>
      <c r="I41" s="80"/>
      <c r="J41" s="79"/>
      <c r="K41" s="79"/>
      <c r="L41" s="80"/>
      <c r="M41" s="80"/>
      <c r="N41" s="80"/>
      <c r="O41" s="80"/>
      <c r="P41" s="80"/>
      <c r="Q41" s="79"/>
      <c r="R41" s="79"/>
      <c r="S41" s="80"/>
      <c r="T41" s="80"/>
      <c r="U41" s="80"/>
      <c r="V41" s="81"/>
      <c r="W41" s="79"/>
      <c r="X41" s="87"/>
      <c r="Y41" s="86"/>
      <c r="Z41" s="87"/>
      <c r="AA41" s="87"/>
      <c r="AB41" s="87"/>
      <c r="AC41" s="87"/>
      <c r="AD41" s="87"/>
      <c r="AE41" s="81">
        <v>36</v>
      </c>
      <c r="AM41" s="12"/>
      <c r="AN41" s="96"/>
      <c r="AO41" s="105"/>
      <c r="AP41" s="105"/>
      <c r="AQ41" s="11"/>
      <c r="AR41" s="11"/>
    </row>
    <row r="42" spans="1:44" s="4" customFormat="1" ht="37.5" x14ac:dyDescent="0.3">
      <c r="A42" s="82">
        <v>28</v>
      </c>
      <c r="B42" s="83" t="s">
        <v>44</v>
      </c>
      <c r="C42" s="64">
        <f t="shared" ref="C42" si="28">SUM(D42:F44)</f>
        <v>48</v>
      </c>
      <c r="D42" s="65">
        <f t="shared" ref="D42" si="29">SUM(G42:X42)</f>
        <v>16</v>
      </c>
      <c r="E42" s="65"/>
      <c r="F42" s="66"/>
      <c r="G42" s="153">
        <v>2</v>
      </c>
      <c r="H42" s="154"/>
      <c r="I42" s="154">
        <v>2</v>
      </c>
      <c r="J42" s="153"/>
      <c r="K42" s="149">
        <v>2</v>
      </c>
      <c r="L42" s="145"/>
      <c r="M42" s="145">
        <v>2</v>
      </c>
      <c r="N42" s="145"/>
      <c r="O42" s="145">
        <v>2</v>
      </c>
      <c r="P42" s="145"/>
      <c r="Q42" s="149">
        <v>2</v>
      </c>
      <c r="R42" s="149"/>
      <c r="S42" s="145">
        <v>2</v>
      </c>
      <c r="T42" s="145"/>
      <c r="U42" s="145">
        <v>2</v>
      </c>
      <c r="V42" s="147"/>
      <c r="W42" s="64"/>
      <c r="X42" s="65"/>
      <c r="Y42" s="64"/>
      <c r="Z42" s="65"/>
      <c r="AA42" s="65"/>
      <c r="AB42" s="65"/>
      <c r="AC42" s="65"/>
      <c r="AD42" s="65"/>
      <c r="AE42" s="66" t="s">
        <v>29</v>
      </c>
      <c r="AM42" s="11"/>
      <c r="AN42" s="11"/>
      <c r="AO42" s="11"/>
      <c r="AP42" s="11"/>
      <c r="AQ42" s="11"/>
      <c r="AR42" s="11"/>
    </row>
    <row r="43" spans="1:44" s="4" customFormat="1" x14ac:dyDescent="0.3">
      <c r="A43" s="84"/>
      <c r="B43" s="85"/>
      <c r="C43" s="71"/>
      <c r="D43" s="72"/>
      <c r="E43" s="72">
        <f t="shared" ref="E43" si="30">SUM(G43:X43)</f>
        <v>32</v>
      </c>
      <c r="F43" s="73"/>
      <c r="G43" s="137"/>
      <c r="H43" s="137">
        <v>4</v>
      </c>
      <c r="I43" s="137"/>
      <c r="J43" s="137">
        <v>4</v>
      </c>
      <c r="K43" s="137"/>
      <c r="L43" s="137">
        <v>4</v>
      </c>
      <c r="M43" s="137"/>
      <c r="N43" s="137">
        <v>4</v>
      </c>
      <c r="O43" s="137"/>
      <c r="P43" s="137">
        <v>4</v>
      </c>
      <c r="Q43" s="137"/>
      <c r="R43" s="137">
        <v>4</v>
      </c>
      <c r="S43" s="137"/>
      <c r="T43" s="137">
        <v>4</v>
      </c>
      <c r="U43" s="137"/>
      <c r="V43" s="155">
        <v>4</v>
      </c>
      <c r="W43" s="91"/>
      <c r="X43" s="72"/>
      <c r="Y43" s="71"/>
      <c r="Z43" s="72"/>
      <c r="AA43" s="72"/>
      <c r="AB43" s="72"/>
      <c r="AC43" s="72"/>
      <c r="AD43" s="72"/>
      <c r="AE43" s="76"/>
      <c r="AM43" s="12"/>
      <c r="AN43" s="96"/>
      <c r="AO43" s="105"/>
      <c r="AP43" s="105"/>
      <c r="AQ43" s="11"/>
      <c r="AR43" s="11"/>
    </row>
    <row r="44" spans="1:44" s="4" customFormat="1" ht="19.5" thickBot="1" x14ac:dyDescent="0.35">
      <c r="A44" s="88"/>
      <c r="B44" s="89"/>
      <c r="C44" s="79"/>
      <c r="D44" s="80"/>
      <c r="E44" s="80"/>
      <c r="F44" s="81">
        <f t="shared" ref="F44" si="31">SUM(G44:X44)</f>
        <v>0</v>
      </c>
      <c r="G44" s="140"/>
      <c r="H44" s="141"/>
      <c r="I44" s="141"/>
      <c r="J44" s="140"/>
      <c r="K44" s="140"/>
      <c r="L44" s="141"/>
      <c r="M44" s="141"/>
      <c r="N44" s="141"/>
      <c r="O44" s="141"/>
      <c r="P44" s="141"/>
      <c r="Q44" s="140"/>
      <c r="R44" s="140"/>
      <c r="S44" s="141"/>
      <c r="T44" s="141"/>
      <c r="U44" s="141"/>
      <c r="V44" s="148"/>
      <c r="W44" s="79"/>
      <c r="X44" s="87"/>
      <c r="Y44" s="86"/>
      <c r="Z44" s="87"/>
      <c r="AA44" s="87"/>
      <c r="AB44" s="87"/>
      <c r="AC44" s="87"/>
      <c r="AD44" s="87"/>
      <c r="AE44" s="81">
        <v>9</v>
      </c>
      <c r="AM44" s="12"/>
      <c r="AN44" s="96"/>
      <c r="AO44" s="105"/>
      <c r="AP44" s="105"/>
      <c r="AQ44" s="11"/>
      <c r="AR44" s="11"/>
    </row>
    <row r="45" spans="1:44" s="4" customFormat="1" ht="37.5" x14ac:dyDescent="0.3">
      <c r="A45" s="82">
        <v>28</v>
      </c>
      <c r="B45" s="83" t="s">
        <v>45</v>
      </c>
      <c r="C45" s="64">
        <f t="shared" ref="C45" si="32">SUM(D45:F47)</f>
        <v>32</v>
      </c>
      <c r="D45" s="65">
        <f t="shared" ref="D45" si="33">SUM(G45:X45)</f>
        <v>0</v>
      </c>
      <c r="E45" s="65"/>
      <c r="F45" s="66"/>
      <c r="G45" s="67"/>
      <c r="H45" s="68"/>
      <c r="I45" s="68"/>
      <c r="J45" s="67"/>
      <c r="K45" s="64"/>
      <c r="L45" s="65"/>
      <c r="M45" s="65"/>
      <c r="N45" s="65"/>
      <c r="O45" s="65"/>
      <c r="P45" s="65"/>
      <c r="Q45" s="64"/>
      <c r="R45" s="64"/>
      <c r="S45" s="65"/>
      <c r="T45" s="65"/>
      <c r="U45" s="65"/>
      <c r="V45" s="66"/>
      <c r="W45" s="64"/>
      <c r="X45" s="65"/>
      <c r="Y45" s="64"/>
      <c r="Z45" s="65"/>
      <c r="AA45" s="65"/>
      <c r="AB45" s="65"/>
      <c r="AC45" s="65"/>
      <c r="AD45" s="65"/>
      <c r="AE45" s="66" t="s">
        <v>29</v>
      </c>
      <c r="AM45" s="11"/>
      <c r="AN45" s="11"/>
      <c r="AO45" s="11"/>
      <c r="AP45" s="11"/>
      <c r="AQ45" s="11"/>
      <c r="AR45" s="11"/>
    </row>
    <row r="46" spans="1:44" s="4" customFormat="1" ht="19.5" x14ac:dyDescent="0.35">
      <c r="A46" s="84"/>
      <c r="B46" s="99" t="s">
        <v>22</v>
      </c>
      <c r="C46" s="71"/>
      <c r="D46" s="72"/>
      <c r="E46" s="72">
        <f t="shared" ref="E46" si="34">SUM(G46:X46)</f>
        <v>32</v>
      </c>
      <c r="F46" s="73"/>
      <c r="G46" s="71"/>
      <c r="H46" s="71">
        <v>4</v>
      </c>
      <c r="I46" s="71"/>
      <c r="J46" s="71">
        <v>4</v>
      </c>
      <c r="K46" s="71"/>
      <c r="L46" s="71">
        <v>4</v>
      </c>
      <c r="M46" s="71"/>
      <c r="N46" s="71">
        <v>4</v>
      </c>
      <c r="O46" s="71"/>
      <c r="P46" s="71">
        <v>4</v>
      </c>
      <c r="Q46" s="71"/>
      <c r="R46" s="71">
        <v>4</v>
      </c>
      <c r="S46" s="71"/>
      <c r="T46" s="71">
        <v>4</v>
      </c>
      <c r="U46" s="71"/>
      <c r="V46" s="73">
        <v>4</v>
      </c>
      <c r="W46" s="71"/>
      <c r="X46" s="72"/>
      <c r="Y46" s="71"/>
      <c r="Z46" s="72"/>
      <c r="AA46" s="72"/>
      <c r="AB46" s="72"/>
      <c r="AC46" s="72"/>
      <c r="AD46" s="72"/>
      <c r="AE46" s="76"/>
      <c r="AM46" s="12"/>
      <c r="AN46" s="96"/>
      <c r="AO46" s="105"/>
      <c r="AP46" s="105"/>
      <c r="AQ46" s="11"/>
      <c r="AR46" s="11"/>
    </row>
    <row r="47" spans="1:44" s="4" customFormat="1" ht="19.5" thickBot="1" x14ac:dyDescent="0.35">
      <c r="A47" s="98"/>
      <c r="B47" s="89"/>
      <c r="C47" s="79"/>
      <c r="D47" s="80"/>
      <c r="E47" s="80"/>
      <c r="F47" s="81">
        <f t="shared" ref="F47" si="35">SUM(G47:X47)</f>
        <v>0</v>
      </c>
      <c r="G47" s="79"/>
      <c r="H47" s="80"/>
      <c r="I47" s="80"/>
      <c r="J47" s="79"/>
      <c r="K47" s="79"/>
      <c r="L47" s="80"/>
      <c r="M47" s="80"/>
      <c r="N47" s="80"/>
      <c r="O47" s="80"/>
      <c r="P47" s="80"/>
      <c r="Q47" s="86"/>
      <c r="R47" s="86"/>
      <c r="S47" s="87"/>
      <c r="T47" s="87"/>
      <c r="U47" s="87"/>
      <c r="V47" s="92"/>
      <c r="W47" s="86"/>
      <c r="X47" s="87"/>
      <c r="Y47" s="86"/>
      <c r="Z47" s="87"/>
      <c r="AA47" s="87"/>
      <c r="AB47" s="87"/>
      <c r="AC47" s="87"/>
      <c r="AD47" s="87"/>
      <c r="AE47" s="81">
        <v>9</v>
      </c>
      <c r="AM47" s="12"/>
      <c r="AN47" s="96"/>
      <c r="AO47" s="105"/>
      <c r="AP47" s="105"/>
      <c r="AQ47" s="11"/>
      <c r="AR47" s="11"/>
    </row>
    <row r="48" spans="1:44" s="4" customFormat="1" ht="19.5" thickBot="1" x14ac:dyDescent="0.35">
      <c r="A48" s="102" t="s">
        <v>25</v>
      </c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4"/>
      <c r="AM48" s="12"/>
      <c r="AN48" s="96"/>
      <c r="AO48" s="105"/>
      <c r="AP48" s="105"/>
      <c r="AQ48" s="11"/>
      <c r="AR48" s="11"/>
    </row>
    <row r="49" spans="1:44" ht="19.5" x14ac:dyDescent="0.3">
      <c r="A49" s="82">
        <v>28</v>
      </c>
      <c r="B49" s="83" t="s">
        <v>42</v>
      </c>
      <c r="C49" s="64">
        <f t="shared" ref="C49" si="36">SUM(D49:F51)</f>
        <v>54</v>
      </c>
      <c r="D49" s="65">
        <f t="shared" ref="D49" si="37">SUM(G49:X49)</f>
        <v>18</v>
      </c>
      <c r="E49" s="65"/>
      <c r="F49" s="66"/>
      <c r="G49" s="153">
        <v>2</v>
      </c>
      <c r="H49" s="154"/>
      <c r="I49" s="154">
        <v>2</v>
      </c>
      <c r="J49" s="153"/>
      <c r="K49" s="149">
        <v>2</v>
      </c>
      <c r="L49" s="145"/>
      <c r="M49" s="145">
        <v>2</v>
      </c>
      <c r="N49" s="145"/>
      <c r="O49" s="145">
        <v>2</v>
      </c>
      <c r="P49" s="145"/>
      <c r="Q49" s="149">
        <v>2</v>
      </c>
      <c r="R49" s="149"/>
      <c r="S49" s="145">
        <v>2</v>
      </c>
      <c r="T49" s="145"/>
      <c r="U49" s="145">
        <v>2</v>
      </c>
      <c r="V49" s="145"/>
      <c r="W49" s="145">
        <v>2</v>
      </c>
      <c r="X49" s="147"/>
      <c r="Y49" s="149"/>
      <c r="Z49" s="145"/>
      <c r="AA49" s="65"/>
      <c r="AB49" s="65"/>
      <c r="AC49" s="65"/>
      <c r="AD49" s="65"/>
      <c r="AE49" s="66" t="s">
        <v>19</v>
      </c>
    </row>
    <row r="50" spans="1:44" x14ac:dyDescent="0.3">
      <c r="A50" s="84"/>
      <c r="B50" s="85"/>
      <c r="C50" s="71"/>
      <c r="D50" s="72"/>
      <c r="E50" s="72">
        <f t="shared" ref="E50" si="38">SUM(G50:X50)</f>
        <v>36</v>
      </c>
      <c r="F50" s="73"/>
      <c r="G50" s="137"/>
      <c r="H50" s="137">
        <v>4</v>
      </c>
      <c r="I50" s="137"/>
      <c r="J50" s="137">
        <v>4</v>
      </c>
      <c r="K50" s="137"/>
      <c r="L50" s="137">
        <v>4</v>
      </c>
      <c r="M50" s="137"/>
      <c r="N50" s="137">
        <v>4</v>
      </c>
      <c r="O50" s="137"/>
      <c r="P50" s="137">
        <v>4</v>
      </c>
      <c r="Q50" s="137"/>
      <c r="R50" s="137">
        <v>4</v>
      </c>
      <c r="S50" s="137"/>
      <c r="T50" s="137">
        <v>4</v>
      </c>
      <c r="U50" s="137"/>
      <c r="V50" s="137">
        <v>4</v>
      </c>
      <c r="W50" s="137"/>
      <c r="X50" s="155">
        <v>4</v>
      </c>
      <c r="Y50" s="156"/>
      <c r="Z50" s="138"/>
      <c r="AA50" s="72"/>
      <c r="AB50" s="72"/>
      <c r="AC50" s="72"/>
      <c r="AD50" s="72"/>
      <c r="AE50" s="76"/>
      <c r="AF50" s="157"/>
      <c r="AG50" s="158"/>
      <c r="AH50" s="158"/>
      <c r="AI50" s="158"/>
      <c r="AJ50" s="158"/>
      <c r="AK50" s="158"/>
    </row>
    <row r="51" spans="1:44" ht="19.5" thickBot="1" x14ac:dyDescent="0.35">
      <c r="A51" s="98"/>
      <c r="B51" s="89"/>
      <c r="C51" s="79"/>
      <c r="D51" s="80"/>
      <c r="E51" s="80"/>
      <c r="F51" s="81">
        <f t="shared" ref="F51" si="39">SUM(G51:X51)</f>
        <v>0</v>
      </c>
      <c r="G51" s="140"/>
      <c r="H51" s="141"/>
      <c r="I51" s="141"/>
      <c r="J51" s="140"/>
      <c r="K51" s="140"/>
      <c r="L51" s="141"/>
      <c r="M51" s="141"/>
      <c r="N51" s="141"/>
      <c r="O51" s="141"/>
      <c r="P51" s="141"/>
      <c r="Q51" s="140"/>
      <c r="R51" s="140"/>
      <c r="S51" s="141"/>
      <c r="T51" s="141"/>
      <c r="U51" s="141"/>
      <c r="V51" s="141"/>
      <c r="W51" s="141"/>
      <c r="X51" s="144"/>
      <c r="Y51" s="142"/>
      <c r="Z51" s="143"/>
      <c r="AA51" s="87"/>
      <c r="AB51" s="87"/>
      <c r="AC51" s="87"/>
      <c r="AD51" s="87"/>
      <c r="AE51" s="81">
        <v>27</v>
      </c>
    </row>
    <row r="52" spans="1:44" ht="19.5" thickBot="1" x14ac:dyDescent="0.35">
      <c r="A52" s="106" t="s">
        <v>27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</row>
    <row r="53" spans="1:44" s="4" customFormat="1" ht="19.5" thickBot="1" x14ac:dyDescent="0.35">
      <c r="A53" s="102" t="s">
        <v>47</v>
      </c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4"/>
      <c r="AM53" s="12"/>
      <c r="AN53" s="96"/>
      <c r="AO53" s="105"/>
      <c r="AP53" s="105"/>
      <c r="AQ53" s="11"/>
      <c r="AR53" s="11"/>
    </row>
    <row r="54" spans="1:44" s="4" customFormat="1" ht="75" x14ac:dyDescent="0.3">
      <c r="A54" s="82">
        <v>28</v>
      </c>
      <c r="B54" s="83" t="s">
        <v>46</v>
      </c>
      <c r="C54" s="64">
        <f t="shared" ref="C54" si="40">SUM(D54:F56)</f>
        <v>54</v>
      </c>
      <c r="D54" s="65">
        <f t="shared" ref="D54" si="41">SUM(G54:X54)</f>
        <v>18</v>
      </c>
      <c r="E54" s="65"/>
      <c r="F54" s="66"/>
      <c r="G54" s="67">
        <v>2</v>
      </c>
      <c r="H54" s="68"/>
      <c r="I54" s="68">
        <v>2</v>
      </c>
      <c r="J54" s="67"/>
      <c r="K54" s="64">
        <v>2</v>
      </c>
      <c r="L54" s="65"/>
      <c r="M54" s="65">
        <v>2</v>
      </c>
      <c r="N54" s="65"/>
      <c r="O54" s="65">
        <v>2</v>
      </c>
      <c r="P54" s="65"/>
      <c r="Q54" s="64">
        <v>2</v>
      </c>
      <c r="R54" s="64"/>
      <c r="S54" s="65">
        <v>2</v>
      </c>
      <c r="T54" s="65"/>
      <c r="U54" s="65">
        <v>2</v>
      </c>
      <c r="V54" s="65"/>
      <c r="W54" s="65">
        <v>2</v>
      </c>
      <c r="X54" s="66"/>
      <c r="Y54" s="64"/>
      <c r="Z54" s="65"/>
      <c r="AA54" s="65"/>
      <c r="AB54" s="65"/>
      <c r="AC54" s="65"/>
      <c r="AD54" s="65"/>
      <c r="AE54" s="66" t="s">
        <v>29</v>
      </c>
      <c r="AM54" s="11"/>
      <c r="AN54" s="11"/>
      <c r="AO54" s="11"/>
      <c r="AP54" s="11"/>
      <c r="AQ54" s="11"/>
      <c r="AR54" s="11"/>
    </row>
    <row r="55" spans="1:44" s="4" customFormat="1" x14ac:dyDescent="0.3">
      <c r="A55" s="84"/>
      <c r="B55" s="85"/>
      <c r="C55" s="71"/>
      <c r="D55" s="72"/>
      <c r="E55" s="72">
        <f t="shared" ref="E55" si="42">SUM(G55:X55)</f>
        <v>36</v>
      </c>
      <c r="F55" s="73"/>
      <c r="G55" s="71">
        <v>2</v>
      </c>
      <c r="H55" s="71">
        <v>2</v>
      </c>
      <c r="I55" s="71">
        <v>2</v>
      </c>
      <c r="J55" s="71">
        <v>2</v>
      </c>
      <c r="K55" s="71">
        <v>2</v>
      </c>
      <c r="L55" s="71">
        <v>2</v>
      </c>
      <c r="M55" s="71">
        <v>2</v>
      </c>
      <c r="N55" s="71">
        <v>2</v>
      </c>
      <c r="O55" s="71">
        <v>2</v>
      </c>
      <c r="P55" s="71">
        <v>2</v>
      </c>
      <c r="Q55" s="71">
        <v>2</v>
      </c>
      <c r="R55" s="71">
        <v>2</v>
      </c>
      <c r="S55" s="71">
        <v>2</v>
      </c>
      <c r="T55" s="71">
        <v>2</v>
      </c>
      <c r="U55" s="71">
        <v>2</v>
      </c>
      <c r="V55" s="71">
        <v>2</v>
      </c>
      <c r="W55" s="71">
        <v>2</v>
      </c>
      <c r="X55" s="73">
        <v>2</v>
      </c>
      <c r="Y55" s="71"/>
      <c r="Z55" s="72"/>
      <c r="AA55" s="72"/>
      <c r="AB55" s="72"/>
      <c r="AC55" s="72"/>
      <c r="AD55" s="72"/>
      <c r="AE55" s="76"/>
      <c r="AM55" s="12"/>
      <c r="AN55" s="96"/>
      <c r="AO55" s="105"/>
      <c r="AP55" s="105"/>
      <c r="AQ55" s="11"/>
      <c r="AR55" s="11"/>
    </row>
    <row r="56" spans="1:44" s="4" customFormat="1" ht="19.5" thickBot="1" x14ac:dyDescent="0.35">
      <c r="A56" s="98"/>
      <c r="B56" s="89"/>
      <c r="C56" s="79"/>
      <c r="D56" s="80"/>
      <c r="E56" s="80"/>
      <c r="F56" s="81">
        <f t="shared" ref="F56" si="43">SUM(G56:X56)</f>
        <v>0</v>
      </c>
      <c r="G56" s="79"/>
      <c r="H56" s="80"/>
      <c r="I56" s="80"/>
      <c r="J56" s="79"/>
      <c r="K56" s="79"/>
      <c r="L56" s="80"/>
      <c r="M56" s="80"/>
      <c r="N56" s="80"/>
      <c r="O56" s="80"/>
      <c r="P56" s="80"/>
      <c r="Q56" s="86"/>
      <c r="R56" s="86"/>
      <c r="S56" s="87"/>
      <c r="T56" s="87"/>
      <c r="U56" s="87"/>
      <c r="V56" s="87"/>
      <c r="W56" s="87"/>
      <c r="X56" s="92"/>
      <c r="Y56" s="86"/>
      <c r="Z56" s="87"/>
      <c r="AA56" s="87"/>
      <c r="AB56" s="87"/>
      <c r="AC56" s="87"/>
      <c r="AD56" s="87"/>
      <c r="AE56" s="81">
        <v>18</v>
      </c>
      <c r="AM56" s="12"/>
      <c r="AN56" s="96"/>
      <c r="AO56" s="105"/>
      <c r="AP56" s="105"/>
      <c r="AQ56" s="11"/>
      <c r="AR56" s="11"/>
    </row>
    <row r="57" spans="1:44" ht="19.5" customHeight="1" thickBot="1" x14ac:dyDescent="0.35">
      <c r="A57" s="102" t="s">
        <v>51</v>
      </c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4"/>
    </row>
    <row r="58" spans="1:44" s="4" customFormat="1" ht="56.25" x14ac:dyDescent="0.3">
      <c r="A58" s="82">
        <v>28</v>
      </c>
      <c r="B58" s="83" t="s">
        <v>48</v>
      </c>
      <c r="C58" s="64">
        <f>SUM(D58:F60)</f>
        <v>48</v>
      </c>
      <c r="D58" s="65">
        <f>SUM(G58:X58)</f>
        <v>16</v>
      </c>
      <c r="E58" s="65"/>
      <c r="F58" s="66"/>
      <c r="G58" s="64">
        <v>2</v>
      </c>
      <c r="H58" s="65"/>
      <c r="I58" s="65">
        <v>2</v>
      </c>
      <c r="J58" s="65"/>
      <c r="K58" s="64">
        <v>2</v>
      </c>
      <c r="L58" s="65"/>
      <c r="M58" s="65">
        <v>2</v>
      </c>
      <c r="N58" s="65"/>
      <c r="O58" s="65">
        <v>2</v>
      </c>
      <c r="P58" s="65"/>
      <c r="Q58" s="64">
        <v>2</v>
      </c>
      <c r="R58" s="64"/>
      <c r="S58" s="65">
        <v>2</v>
      </c>
      <c r="T58" s="65"/>
      <c r="U58" s="65">
        <v>2</v>
      </c>
      <c r="V58" s="66"/>
      <c r="W58" s="64"/>
      <c r="X58" s="65"/>
      <c r="Y58" s="64"/>
      <c r="Z58" s="65"/>
      <c r="AA58" s="65"/>
      <c r="AB58" s="65"/>
      <c r="AC58" s="65"/>
      <c r="AD58" s="65"/>
      <c r="AE58" s="66" t="s">
        <v>19</v>
      </c>
      <c r="AM58" s="11"/>
      <c r="AN58" s="11"/>
      <c r="AO58" s="11"/>
      <c r="AP58" s="11"/>
      <c r="AQ58" s="11"/>
      <c r="AR58" s="11"/>
    </row>
    <row r="59" spans="1:44" s="4" customFormat="1" x14ac:dyDescent="0.3">
      <c r="A59" s="84"/>
      <c r="B59" s="85"/>
      <c r="C59" s="71"/>
      <c r="D59" s="72"/>
      <c r="E59" s="72">
        <f>SUM(G59:X59)</f>
        <v>32</v>
      </c>
      <c r="F59" s="73"/>
      <c r="G59" s="71"/>
      <c r="H59" s="72">
        <v>4</v>
      </c>
      <c r="I59" s="72"/>
      <c r="J59" s="72">
        <v>4</v>
      </c>
      <c r="K59" s="74"/>
      <c r="L59" s="75">
        <v>4</v>
      </c>
      <c r="M59" s="75"/>
      <c r="N59" s="75">
        <v>4</v>
      </c>
      <c r="O59" s="75"/>
      <c r="P59" s="75">
        <v>4</v>
      </c>
      <c r="Q59" s="75"/>
      <c r="R59" s="75">
        <v>4</v>
      </c>
      <c r="S59" s="75"/>
      <c r="T59" s="75">
        <v>4</v>
      </c>
      <c r="U59" s="75"/>
      <c r="V59" s="136">
        <v>4</v>
      </c>
      <c r="W59" s="71"/>
      <c r="X59" s="72"/>
      <c r="Y59" s="71"/>
      <c r="Z59" s="72"/>
      <c r="AA59" s="72"/>
      <c r="AB59" s="72"/>
      <c r="AC59" s="72"/>
      <c r="AD59" s="72"/>
      <c r="AE59" s="76"/>
      <c r="AM59" s="12"/>
      <c r="AN59" s="96"/>
      <c r="AO59" s="105"/>
      <c r="AP59" s="105"/>
      <c r="AQ59" s="11"/>
      <c r="AR59" s="11"/>
    </row>
    <row r="60" spans="1:44" s="4" customFormat="1" ht="19.5" thickBot="1" x14ac:dyDescent="0.35">
      <c r="A60" s="88"/>
      <c r="B60" s="89"/>
      <c r="C60" s="79"/>
      <c r="D60" s="80"/>
      <c r="E60" s="80"/>
      <c r="F60" s="81">
        <f>SUM(G60:X60)</f>
        <v>0</v>
      </c>
      <c r="G60" s="79"/>
      <c r="H60" s="80"/>
      <c r="I60" s="80"/>
      <c r="J60" s="79"/>
      <c r="K60" s="79"/>
      <c r="L60" s="80"/>
      <c r="M60" s="80"/>
      <c r="N60" s="80"/>
      <c r="O60" s="80"/>
      <c r="P60" s="80"/>
      <c r="Q60" s="79"/>
      <c r="R60" s="79"/>
      <c r="S60" s="80"/>
      <c r="T60" s="80"/>
      <c r="U60" s="80"/>
      <c r="V60" s="81"/>
      <c r="W60" s="79"/>
      <c r="X60" s="87"/>
      <c r="Y60" s="86"/>
      <c r="Z60" s="87"/>
      <c r="AA60" s="87"/>
      <c r="AB60" s="87"/>
      <c r="AC60" s="87"/>
      <c r="AD60" s="87"/>
      <c r="AE60" s="81">
        <v>36</v>
      </c>
      <c r="AM60" s="12"/>
      <c r="AN60" s="96"/>
      <c r="AO60" s="105"/>
      <c r="AP60" s="105"/>
      <c r="AQ60" s="11"/>
      <c r="AR60" s="11"/>
    </row>
    <row r="61" spans="1:44" s="4" customFormat="1" ht="56.25" x14ac:dyDescent="0.3">
      <c r="A61" s="82">
        <v>28</v>
      </c>
      <c r="B61" s="83" t="s">
        <v>49</v>
      </c>
      <c r="C61" s="64">
        <f t="shared" ref="C61" si="44">SUM(D61:F63)</f>
        <v>64</v>
      </c>
      <c r="D61" s="65">
        <f t="shared" ref="D61" si="45">SUM(G61:X61)</f>
        <v>32</v>
      </c>
      <c r="E61" s="65"/>
      <c r="F61" s="66"/>
      <c r="G61" s="67">
        <v>2</v>
      </c>
      <c r="H61" s="67">
        <v>2</v>
      </c>
      <c r="I61" s="67">
        <v>2</v>
      </c>
      <c r="J61" s="67">
        <v>2</v>
      </c>
      <c r="K61" s="67">
        <v>2</v>
      </c>
      <c r="L61" s="67">
        <v>2</v>
      </c>
      <c r="M61" s="67">
        <v>2</v>
      </c>
      <c r="N61" s="67">
        <v>2</v>
      </c>
      <c r="O61" s="67">
        <v>2</v>
      </c>
      <c r="P61" s="67">
        <v>2</v>
      </c>
      <c r="Q61" s="67">
        <v>2</v>
      </c>
      <c r="R61" s="67">
        <v>2</v>
      </c>
      <c r="S61" s="67">
        <v>2</v>
      </c>
      <c r="T61" s="67">
        <v>2</v>
      </c>
      <c r="U61" s="67">
        <v>2</v>
      </c>
      <c r="V61" s="66">
        <v>2</v>
      </c>
      <c r="W61" s="64"/>
      <c r="X61" s="65"/>
      <c r="Y61" s="64"/>
      <c r="Z61" s="65"/>
      <c r="AA61" s="65"/>
      <c r="AB61" s="65"/>
      <c r="AC61" s="65"/>
      <c r="AD61" s="65"/>
      <c r="AE61" s="66" t="s">
        <v>19</v>
      </c>
      <c r="AM61" s="11"/>
      <c r="AN61" s="11"/>
      <c r="AO61" s="11"/>
      <c r="AP61" s="11"/>
      <c r="AQ61" s="11"/>
      <c r="AR61" s="11"/>
    </row>
    <row r="62" spans="1:44" s="4" customFormat="1" x14ac:dyDescent="0.3">
      <c r="A62" s="84"/>
      <c r="B62" s="85"/>
      <c r="C62" s="71"/>
      <c r="D62" s="72"/>
      <c r="E62" s="72">
        <f t="shared" ref="E62" si="46">SUM(G62:X62)</f>
        <v>32</v>
      </c>
      <c r="F62" s="73"/>
      <c r="G62" s="71">
        <v>2</v>
      </c>
      <c r="H62" s="71">
        <v>2</v>
      </c>
      <c r="I62" s="71">
        <v>2</v>
      </c>
      <c r="J62" s="71">
        <v>2</v>
      </c>
      <c r="K62" s="71">
        <v>2</v>
      </c>
      <c r="L62" s="71">
        <v>2</v>
      </c>
      <c r="M62" s="71">
        <v>2</v>
      </c>
      <c r="N62" s="71">
        <v>2</v>
      </c>
      <c r="O62" s="71">
        <v>2</v>
      </c>
      <c r="P62" s="71">
        <v>2</v>
      </c>
      <c r="Q62" s="71">
        <v>2</v>
      </c>
      <c r="R62" s="71">
        <v>2</v>
      </c>
      <c r="S62" s="71">
        <v>2</v>
      </c>
      <c r="T62" s="71">
        <v>2</v>
      </c>
      <c r="U62" s="71">
        <v>2</v>
      </c>
      <c r="V62" s="73">
        <v>2</v>
      </c>
      <c r="W62" s="71"/>
      <c r="X62" s="72"/>
      <c r="Y62" s="71"/>
      <c r="Z62" s="72"/>
      <c r="AA62" s="72"/>
      <c r="AB62" s="72"/>
      <c r="AC62" s="72"/>
      <c r="AD62" s="72"/>
      <c r="AE62" s="76"/>
      <c r="AM62" s="12"/>
      <c r="AN62" s="96"/>
      <c r="AO62" s="105"/>
      <c r="AP62" s="105"/>
      <c r="AQ62" s="11"/>
      <c r="AR62" s="11"/>
    </row>
    <row r="63" spans="1:44" s="4" customFormat="1" ht="19.5" thickBot="1" x14ac:dyDescent="0.35">
      <c r="A63" s="88"/>
      <c r="B63" s="89"/>
      <c r="C63" s="79"/>
      <c r="D63" s="80"/>
      <c r="E63" s="80"/>
      <c r="F63" s="81">
        <f t="shared" ref="F63" si="47">SUM(G63:X63)</f>
        <v>0</v>
      </c>
      <c r="G63" s="79"/>
      <c r="H63" s="80"/>
      <c r="I63" s="80"/>
      <c r="J63" s="79"/>
      <c r="K63" s="79"/>
      <c r="L63" s="80"/>
      <c r="M63" s="80"/>
      <c r="N63" s="80"/>
      <c r="O63" s="80"/>
      <c r="P63" s="80"/>
      <c r="Q63" s="79"/>
      <c r="R63" s="79"/>
      <c r="S63" s="80"/>
      <c r="T63" s="80"/>
      <c r="U63" s="80"/>
      <c r="V63" s="81"/>
      <c r="W63" s="79"/>
      <c r="X63" s="87"/>
      <c r="Y63" s="86"/>
      <c r="Z63" s="87"/>
      <c r="AA63" s="87"/>
      <c r="AB63" s="87"/>
      <c r="AC63" s="87"/>
      <c r="AD63" s="87"/>
      <c r="AE63" s="81">
        <v>27</v>
      </c>
      <c r="AM63" s="12"/>
      <c r="AN63" s="96"/>
      <c r="AO63" s="105"/>
      <c r="AP63" s="105"/>
      <c r="AQ63" s="11"/>
      <c r="AR63" s="11"/>
    </row>
    <row r="64" spans="1:44" s="4" customFormat="1" ht="56.25" x14ac:dyDescent="0.3">
      <c r="A64" s="82">
        <v>28</v>
      </c>
      <c r="B64" s="83" t="s">
        <v>50</v>
      </c>
      <c r="C64" s="64">
        <f t="shared" ref="C64" si="48">SUM(D64:F66)</f>
        <v>64</v>
      </c>
      <c r="D64" s="65">
        <f t="shared" ref="D64" si="49">SUM(G64:X64)</f>
        <v>32</v>
      </c>
      <c r="E64" s="65"/>
      <c r="F64" s="66"/>
      <c r="G64" s="67">
        <v>2</v>
      </c>
      <c r="H64" s="67">
        <v>2</v>
      </c>
      <c r="I64" s="67">
        <v>2</v>
      </c>
      <c r="J64" s="67">
        <v>2</v>
      </c>
      <c r="K64" s="67">
        <v>2</v>
      </c>
      <c r="L64" s="67">
        <v>2</v>
      </c>
      <c r="M64" s="67">
        <v>2</v>
      </c>
      <c r="N64" s="67">
        <v>2</v>
      </c>
      <c r="O64" s="67">
        <v>2</v>
      </c>
      <c r="P64" s="67">
        <v>2</v>
      </c>
      <c r="Q64" s="67">
        <v>2</v>
      </c>
      <c r="R64" s="67">
        <v>2</v>
      </c>
      <c r="S64" s="67">
        <v>2</v>
      </c>
      <c r="T64" s="67">
        <v>2</v>
      </c>
      <c r="U64" s="67">
        <v>2</v>
      </c>
      <c r="V64" s="66">
        <v>2</v>
      </c>
      <c r="W64" s="64"/>
      <c r="X64" s="65"/>
      <c r="Y64" s="64"/>
      <c r="Z64" s="65"/>
      <c r="AA64" s="65"/>
      <c r="AB64" s="65"/>
      <c r="AC64" s="65"/>
      <c r="AD64" s="65"/>
      <c r="AE64" s="66" t="s">
        <v>19</v>
      </c>
      <c r="AM64" s="11"/>
      <c r="AN64" s="11"/>
      <c r="AO64" s="11"/>
      <c r="AP64" s="11"/>
      <c r="AQ64" s="11"/>
      <c r="AR64" s="11"/>
    </row>
    <row r="65" spans="1:44" s="4" customFormat="1" x14ac:dyDescent="0.3">
      <c r="A65" s="84"/>
      <c r="B65" s="85"/>
      <c r="C65" s="71"/>
      <c r="D65" s="72"/>
      <c r="E65" s="72">
        <f t="shared" ref="E65" si="50">SUM(G65:X65)</f>
        <v>32</v>
      </c>
      <c r="F65" s="73"/>
      <c r="G65" s="71">
        <v>2</v>
      </c>
      <c r="H65" s="71">
        <v>2</v>
      </c>
      <c r="I65" s="71">
        <v>2</v>
      </c>
      <c r="J65" s="71">
        <v>2</v>
      </c>
      <c r="K65" s="71">
        <v>2</v>
      </c>
      <c r="L65" s="71">
        <v>2</v>
      </c>
      <c r="M65" s="71">
        <v>2</v>
      </c>
      <c r="N65" s="71">
        <v>2</v>
      </c>
      <c r="O65" s="71">
        <v>2</v>
      </c>
      <c r="P65" s="71">
        <v>2</v>
      </c>
      <c r="Q65" s="71">
        <v>2</v>
      </c>
      <c r="R65" s="71">
        <v>2</v>
      </c>
      <c r="S65" s="71">
        <v>2</v>
      </c>
      <c r="T65" s="71">
        <v>2</v>
      </c>
      <c r="U65" s="71">
        <v>2</v>
      </c>
      <c r="V65" s="73">
        <v>2</v>
      </c>
      <c r="W65" s="71"/>
      <c r="X65" s="72"/>
      <c r="Y65" s="71"/>
      <c r="Z65" s="72"/>
      <c r="AA65" s="72"/>
      <c r="AB65" s="72"/>
      <c r="AC65" s="72"/>
      <c r="AD65" s="72"/>
      <c r="AE65" s="76"/>
      <c r="AM65" s="12"/>
      <c r="AN65" s="96"/>
      <c r="AO65" s="105"/>
      <c r="AP65" s="105"/>
      <c r="AQ65" s="11"/>
      <c r="AR65" s="11"/>
    </row>
    <row r="66" spans="1:44" s="4" customFormat="1" ht="19.5" thickBot="1" x14ac:dyDescent="0.35">
      <c r="A66" s="88"/>
      <c r="B66" s="89"/>
      <c r="C66" s="79"/>
      <c r="D66" s="80"/>
      <c r="E66" s="80"/>
      <c r="F66" s="81">
        <f t="shared" ref="F66" si="51">SUM(G66:X66)</f>
        <v>0</v>
      </c>
      <c r="G66" s="79"/>
      <c r="H66" s="80"/>
      <c r="I66" s="80"/>
      <c r="J66" s="79"/>
      <c r="K66" s="79"/>
      <c r="L66" s="80"/>
      <c r="M66" s="80"/>
      <c r="N66" s="80"/>
      <c r="O66" s="80"/>
      <c r="P66" s="80"/>
      <c r="Q66" s="79"/>
      <c r="R66" s="79"/>
      <c r="S66" s="80"/>
      <c r="T66" s="80"/>
      <c r="U66" s="80"/>
      <c r="V66" s="81"/>
      <c r="W66" s="86"/>
      <c r="X66" s="87"/>
      <c r="Y66" s="86"/>
      <c r="Z66" s="87"/>
      <c r="AA66" s="87"/>
      <c r="AB66" s="87"/>
      <c r="AC66" s="87"/>
      <c r="AD66" s="87"/>
      <c r="AE66" s="81">
        <v>27</v>
      </c>
      <c r="AM66" s="12"/>
      <c r="AN66" s="96"/>
      <c r="AO66" s="105"/>
      <c r="AP66" s="105"/>
      <c r="AQ66" s="11"/>
      <c r="AR66" s="11"/>
    </row>
    <row r="67" spans="1:44" s="4" customFormat="1" ht="19.5" thickBot="1" x14ac:dyDescent="0.35">
      <c r="A67" s="102" t="s">
        <v>53</v>
      </c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4"/>
      <c r="AM67" s="12"/>
      <c r="AN67" s="96"/>
      <c r="AO67" s="105"/>
      <c r="AP67" s="105"/>
      <c r="AQ67" s="11"/>
      <c r="AR67" s="11"/>
    </row>
    <row r="68" spans="1:44" s="4" customFormat="1" ht="56.25" x14ac:dyDescent="0.3">
      <c r="A68" s="62">
        <v>28</v>
      </c>
      <c r="B68" s="63" t="s">
        <v>52</v>
      </c>
      <c r="C68" s="64">
        <f>SUM(D68:F70)</f>
        <v>54</v>
      </c>
      <c r="D68" s="65">
        <f>SUM(G68:X68)</f>
        <v>18</v>
      </c>
      <c r="E68" s="65"/>
      <c r="F68" s="66"/>
      <c r="G68" s="67">
        <v>2</v>
      </c>
      <c r="H68" s="68"/>
      <c r="I68" s="68">
        <v>2</v>
      </c>
      <c r="J68" s="67"/>
      <c r="K68" s="64">
        <v>2</v>
      </c>
      <c r="L68" s="65"/>
      <c r="M68" s="65">
        <v>2</v>
      </c>
      <c r="N68" s="65"/>
      <c r="O68" s="65">
        <v>2</v>
      </c>
      <c r="P68" s="65"/>
      <c r="Q68" s="64">
        <v>2</v>
      </c>
      <c r="R68" s="64"/>
      <c r="S68" s="65">
        <v>2</v>
      </c>
      <c r="T68" s="65"/>
      <c r="U68" s="65">
        <v>2</v>
      </c>
      <c r="V68" s="65"/>
      <c r="W68" s="65">
        <v>2</v>
      </c>
      <c r="X68" s="66"/>
      <c r="Y68" s="64"/>
      <c r="Z68" s="65"/>
      <c r="AA68" s="65"/>
      <c r="AB68" s="65"/>
      <c r="AC68" s="65"/>
      <c r="AD68" s="65"/>
      <c r="AE68" s="66" t="s">
        <v>21</v>
      </c>
    </row>
    <row r="69" spans="1:44" s="4" customFormat="1" ht="19.5" x14ac:dyDescent="0.3">
      <c r="A69" s="69"/>
      <c r="B69" s="70"/>
      <c r="C69" s="71"/>
      <c r="D69" s="72"/>
      <c r="E69" s="72">
        <f>SUM(G69:X69)</f>
        <v>36</v>
      </c>
      <c r="F69" s="73"/>
      <c r="G69" s="71">
        <v>2</v>
      </c>
      <c r="H69" s="71">
        <v>2</v>
      </c>
      <c r="I69" s="71">
        <v>2</v>
      </c>
      <c r="J69" s="71">
        <v>2</v>
      </c>
      <c r="K69" s="71">
        <v>2</v>
      </c>
      <c r="L69" s="71">
        <v>2</v>
      </c>
      <c r="M69" s="71">
        <v>2</v>
      </c>
      <c r="N69" s="71">
        <v>2</v>
      </c>
      <c r="O69" s="71">
        <v>2</v>
      </c>
      <c r="P69" s="71">
        <v>2</v>
      </c>
      <c r="Q69" s="71">
        <v>2</v>
      </c>
      <c r="R69" s="71">
        <v>2</v>
      </c>
      <c r="S69" s="71">
        <v>2</v>
      </c>
      <c r="T69" s="71">
        <v>2</v>
      </c>
      <c r="U69" s="71">
        <v>2</v>
      </c>
      <c r="V69" s="71">
        <v>2</v>
      </c>
      <c r="W69" s="71">
        <v>2</v>
      </c>
      <c r="X69" s="90">
        <v>2</v>
      </c>
      <c r="Y69" s="91"/>
      <c r="Z69" s="72"/>
      <c r="AA69" s="72"/>
      <c r="AB69" s="72"/>
      <c r="AC69" s="72"/>
      <c r="AD69" s="72"/>
      <c r="AE69" s="76"/>
    </row>
    <row r="70" spans="1:44" s="4" customFormat="1" ht="21.75" customHeight="1" thickBot="1" x14ac:dyDescent="0.35">
      <c r="A70" s="77"/>
      <c r="B70" s="78"/>
      <c r="C70" s="79"/>
      <c r="D70" s="80"/>
      <c r="E70" s="80"/>
      <c r="F70" s="81">
        <f>SUM(G70:X70)</f>
        <v>0</v>
      </c>
      <c r="G70" s="79"/>
      <c r="H70" s="80"/>
      <c r="I70" s="80"/>
      <c r="J70" s="79"/>
      <c r="K70" s="79"/>
      <c r="L70" s="80"/>
      <c r="M70" s="80"/>
      <c r="N70" s="80"/>
      <c r="O70" s="80"/>
      <c r="P70" s="80"/>
      <c r="Q70" s="79"/>
      <c r="R70" s="79"/>
      <c r="S70" s="80"/>
      <c r="T70" s="80"/>
      <c r="U70" s="80"/>
      <c r="V70" s="80"/>
      <c r="W70" s="80"/>
      <c r="X70" s="92"/>
      <c r="Y70" s="79"/>
      <c r="Z70" s="80"/>
      <c r="AA70" s="80"/>
      <c r="AB70" s="80"/>
      <c r="AC70" s="80"/>
      <c r="AD70" s="80"/>
      <c r="AE70" s="81">
        <v>36</v>
      </c>
      <c r="AM70" s="11"/>
      <c r="AN70" s="11"/>
      <c r="AO70" s="11"/>
      <c r="AP70" s="11"/>
      <c r="AQ70" s="11"/>
      <c r="AR70" s="11"/>
    </row>
    <row r="71" spans="1:44" s="4" customFormat="1" ht="19.5" thickBot="1" x14ac:dyDescent="0.35">
      <c r="A71" s="102" t="s">
        <v>54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103"/>
      <c r="AC71" s="103"/>
      <c r="AD71" s="103"/>
      <c r="AE71" s="104"/>
      <c r="AM71" s="12"/>
      <c r="AN71" s="96"/>
      <c r="AO71" s="105"/>
      <c r="AP71" s="105"/>
      <c r="AQ71" s="11"/>
      <c r="AR71" s="11"/>
    </row>
    <row r="72" spans="1:44" s="4" customFormat="1" ht="56.25" x14ac:dyDescent="0.3">
      <c r="A72" s="82">
        <v>28</v>
      </c>
      <c r="B72" s="83" t="s">
        <v>40</v>
      </c>
      <c r="C72" s="64">
        <f t="shared" ref="C72" si="52">SUM(D72:F74)</f>
        <v>54</v>
      </c>
      <c r="D72" s="65">
        <f t="shared" ref="D72" si="53">SUM(G72:X72)</f>
        <v>18</v>
      </c>
      <c r="E72" s="65"/>
      <c r="F72" s="66"/>
      <c r="G72" s="67">
        <v>2</v>
      </c>
      <c r="H72" s="68"/>
      <c r="I72" s="68">
        <v>2</v>
      </c>
      <c r="J72" s="67"/>
      <c r="K72" s="64">
        <v>2</v>
      </c>
      <c r="L72" s="65"/>
      <c r="M72" s="65">
        <v>2</v>
      </c>
      <c r="N72" s="65"/>
      <c r="O72" s="65">
        <v>2</v>
      </c>
      <c r="P72" s="65"/>
      <c r="Q72" s="64">
        <v>2</v>
      </c>
      <c r="R72" s="64"/>
      <c r="S72" s="65">
        <v>2</v>
      </c>
      <c r="T72" s="65"/>
      <c r="U72" s="65">
        <v>2</v>
      </c>
      <c r="V72" s="65"/>
      <c r="W72" s="65">
        <v>2</v>
      </c>
      <c r="X72" s="66"/>
      <c r="Y72" s="64"/>
      <c r="Z72" s="65"/>
      <c r="AA72" s="65"/>
      <c r="AB72" s="65"/>
      <c r="AC72" s="65"/>
      <c r="AD72" s="65"/>
      <c r="AE72" s="66" t="s">
        <v>23</v>
      </c>
      <c r="AM72" s="11"/>
      <c r="AN72" s="11"/>
      <c r="AO72" s="11"/>
      <c r="AP72" s="11"/>
      <c r="AQ72" s="11"/>
      <c r="AR72" s="11"/>
    </row>
    <row r="73" spans="1:44" s="4" customFormat="1" x14ac:dyDescent="0.3">
      <c r="A73" s="84"/>
      <c r="B73" s="85"/>
      <c r="C73" s="71"/>
      <c r="D73" s="72"/>
      <c r="E73" s="72">
        <f t="shared" ref="E73" si="54">SUM(G73:X73)</f>
        <v>36</v>
      </c>
      <c r="F73" s="73"/>
      <c r="G73" s="71"/>
      <c r="H73" s="71">
        <v>4</v>
      </c>
      <c r="I73" s="71"/>
      <c r="J73" s="71">
        <v>4</v>
      </c>
      <c r="K73" s="71"/>
      <c r="L73" s="71">
        <v>4</v>
      </c>
      <c r="M73" s="71"/>
      <c r="N73" s="71">
        <v>4</v>
      </c>
      <c r="O73" s="71"/>
      <c r="P73" s="71">
        <v>4</v>
      </c>
      <c r="Q73" s="71"/>
      <c r="R73" s="71">
        <v>4</v>
      </c>
      <c r="S73" s="71"/>
      <c r="T73" s="71">
        <v>4</v>
      </c>
      <c r="U73" s="71"/>
      <c r="V73" s="71">
        <v>4</v>
      </c>
      <c r="W73" s="71"/>
      <c r="X73" s="73">
        <v>4</v>
      </c>
      <c r="Y73" s="71"/>
      <c r="Z73" s="72"/>
      <c r="AA73" s="72"/>
      <c r="AB73" s="72"/>
      <c r="AC73" s="72"/>
      <c r="AD73" s="72"/>
      <c r="AE73" s="76"/>
      <c r="AM73" s="12"/>
      <c r="AN73" s="96"/>
      <c r="AO73" s="105"/>
      <c r="AP73" s="105"/>
      <c r="AQ73" s="11"/>
      <c r="AR73" s="11"/>
    </row>
    <row r="74" spans="1:44" s="4" customFormat="1" ht="19.5" thickBot="1" x14ac:dyDescent="0.35">
      <c r="A74" s="98"/>
      <c r="B74" s="89"/>
      <c r="C74" s="79"/>
      <c r="D74" s="80"/>
      <c r="E74" s="80"/>
      <c r="F74" s="81">
        <f t="shared" ref="F74" si="55">SUM(G74:X74)</f>
        <v>0</v>
      </c>
      <c r="G74" s="79"/>
      <c r="H74" s="80"/>
      <c r="I74" s="80"/>
      <c r="J74" s="79"/>
      <c r="K74" s="79"/>
      <c r="L74" s="80"/>
      <c r="M74" s="80"/>
      <c r="N74" s="80"/>
      <c r="O74" s="80"/>
      <c r="P74" s="80"/>
      <c r="Q74" s="86"/>
      <c r="R74" s="86"/>
      <c r="S74" s="87"/>
      <c r="T74" s="87"/>
      <c r="U74" s="87"/>
      <c r="V74" s="87"/>
      <c r="W74" s="87"/>
      <c r="X74" s="92"/>
      <c r="Y74" s="86"/>
      <c r="Z74" s="87"/>
      <c r="AA74" s="87"/>
      <c r="AB74" s="87"/>
      <c r="AC74" s="87"/>
      <c r="AD74" s="87"/>
      <c r="AE74" s="81">
        <v>18</v>
      </c>
      <c r="AM74" s="12"/>
      <c r="AN74" s="96"/>
      <c r="AO74" s="105"/>
      <c r="AP74" s="105"/>
      <c r="AQ74" s="11"/>
      <c r="AR74" s="11"/>
    </row>
    <row r="75" spans="1:44" s="4" customFormat="1" ht="19.5" customHeight="1" thickBot="1" x14ac:dyDescent="0.35">
      <c r="A75" s="106" t="s">
        <v>31</v>
      </c>
      <c r="B75" s="106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106"/>
      <c r="AC75" s="106"/>
      <c r="AD75" s="106"/>
      <c r="AE75" s="106"/>
      <c r="AM75" s="12"/>
      <c r="AN75" s="96"/>
      <c r="AO75" s="100"/>
      <c r="AP75" s="100"/>
      <c r="AQ75" s="11"/>
      <c r="AR75" s="11"/>
    </row>
    <row r="76" spans="1:44" ht="19.5" thickBot="1" x14ac:dyDescent="0.35">
      <c r="A76" s="102" t="s">
        <v>55</v>
      </c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3"/>
      <c r="AD76" s="103"/>
      <c r="AE76" s="104"/>
    </row>
    <row r="77" spans="1:44" s="4" customFormat="1" ht="19.5" x14ac:dyDescent="0.3">
      <c r="A77" s="82">
        <v>28</v>
      </c>
      <c r="B77" s="83" t="s">
        <v>42</v>
      </c>
      <c r="C77" s="64">
        <f t="shared" ref="C77" si="56">SUM(D77:F79)</f>
        <v>40</v>
      </c>
      <c r="D77" s="65">
        <f t="shared" ref="D77" si="57">SUM(G77:AD77)</f>
        <v>16</v>
      </c>
      <c r="E77" s="65"/>
      <c r="F77" s="66"/>
      <c r="G77" s="67">
        <v>2</v>
      </c>
      <c r="H77" s="67">
        <v>2</v>
      </c>
      <c r="I77" s="67">
        <v>2</v>
      </c>
      <c r="J77" s="67">
        <v>2</v>
      </c>
      <c r="K77" s="67">
        <v>2</v>
      </c>
      <c r="L77" s="67">
        <v>2</v>
      </c>
      <c r="M77" s="67">
        <v>2</v>
      </c>
      <c r="N77" s="67">
        <v>2</v>
      </c>
      <c r="O77" s="65"/>
      <c r="P77" s="65"/>
      <c r="Q77" s="64"/>
      <c r="R77" s="64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6" t="s">
        <v>26</v>
      </c>
      <c r="AM77" s="11"/>
      <c r="AN77" s="11"/>
      <c r="AO77" s="11"/>
      <c r="AP77" s="11"/>
      <c r="AQ77" s="11"/>
      <c r="AR77" s="11"/>
    </row>
    <row r="78" spans="1:44" s="4" customFormat="1" x14ac:dyDescent="0.3">
      <c r="A78" s="84"/>
      <c r="B78" s="85"/>
      <c r="C78" s="71"/>
      <c r="D78" s="72"/>
      <c r="E78" s="72">
        <f t="shared" ref="E78" si="58">SUM(G78:AD78)</f>
        <v>24</v>
      </c>
      <c r="F78" s="73"/>
      <c r="G78" s="101">
        <v>2</v>
      </c>
      <c r="H78" s="72">
        <v>4</v>
      </c>
      <c r="I78" s="71">
        <v>2</v>
      </c>
      <c r="J78" s="72">
        <v>4</v>
      </c>
      <c r="K78" s="71">
        <v>2</v>
      </c>
      <c r="L78" s="72">
        <v>4</v>
      </c>
      <c r="M78" s="72">
        <v>2</v>
      </c>
      <c r="N78" s="72">
        <v>4</v>
      </c>
      <c r="O78" s="72"/>
      <c r="P78" s="72"/>
      <c r="Q78" s="71"/>
      <c r="R78" s="71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6"/>
      <c r="AM78" s="12"/>
      <c r="AN78" s="96"/>
      <c r="AO78" s="105"/>
      <c r="AP78" s="105"/>
      <c r="AQ78" s="11"/>
      <c r="AR78" s="11"/>
    </row>
    <row r="79" spans="1:44" s="4" customFormat="1" ht="19.5" thickBot="1" x14ac:dyDescent="0.35">
      <c r="A79" s="88"/>
      <c r="B79" s="89"/>
      <c r="C79" s="79"/>
      <c r="D79" s="80"/>
      <c r="E79" s="80"/>
      <c r="F79" s="81">
        <f t="shared" ref="F79" si="59">SUM(G79:AD79)</f>
        <v>0</v>
      </c>
      <c r="G79" s="86"/>
      <c r="H79" s="87"/>
      <c r="I79" s="86"/>
      <c r="J79" s="79"/>
      <c r="K79" s="86"/>
      <c r="L79" s="72"/>
      <c r="M79" s="72"/>
      <c r="N79" s="72"/>
      <c r="O79" s="87"/>
      <c r="P79" s="87"/>
      <c r="Q79" s="86"/>
      <c r="R79" s="86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1">
        <v>45</v>
      </c>
      <c r="AM79" s="12"/>
      <c r="AN79" s="96"/>
      <c r="AO79" s="105"/>
      <c r="AP79" s="105"/>
      <c r="AQ79" s="11"/>
      <c r="AR79" s="11"/>
    </row>
    <row r="80" spans="1:44" ht="19.5" thickBot="1" x14ac:dyDescent="0.35">
      <c r="A80" s="102" t="s">
        <v>56</v>
      </c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E80" s="104"/>
    </row>
    <row r="81" spans="1:44" s="4" customFormat="1" ht="19.5" x14ac:dyDescent="0.3">
      <c r="A81" s="82">
        <v>28</v>
      </c>
      <c r="B81" s="83" t="s">
        <v>42</v>
      </c>
      <c r="C81" s="64">
        <f t="shared" ref="C81" si="60">SUM(D81:F83)</f>
        <v>72</v>
      </c>
      <c r="D81" s="65">
        <f t="shared" ref="D81" si="61">SUM(G81:AD81)</f>
        <v>36</v>
      </c>
      <c r="E81" s="65"/>
      <c r="F81" s="66"/>
      <c r="G81" s="67">
        <v>4</v>
      </c>
      <c r="H81" s="67">
        <v>4</v>
      </c>
      <c r="I81" s="67">
        <v>4</v>
      </c>
      <c r="J81" s="67">
        <v>4</v>
      </c>
      <c r="K81" s="67">
        <v>4</v>
      </c>
      <c r="L81" s="67">
        <v>4</v>
      </c>
      <c r="M81" s="67">
        <v>4</v>
      </c>
      <c r="N81" s="67">
        <v>4</v>
      </c>
      <c r="O81" s="67">
        <v>4</v>
      </c>
      <c r="P81" s="65"/>
      <c r="Q81" s="64"/>
      <c r="R81" s="64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6" t="s">
        <v>29</v>
      </c>
      <c r="AM81" s="11"/>
      <c r="AN81" s="11"/>
      <c r="AO81" s="11"/>
      <c r="AP81" s="11"/>
      <c r="AQ81" s="11"/>
      <c r="AR81" s="11"/>
    </row>
    <row r="82" spans="1:44" s="4" customFormat="1" x14ac:dyDescent="0.3">
      <c r="A82" s="84"/>
      <c r="B82" s="85"/>
      <c r="C82" s="71"/>
      <c r="D82" s="72"/>
      <c r="E82" s="72">
        <f t="shared" ref="E82" si="62">SUM(G82:AD82)</f>
        <v>36</v>
      </c>
      <c r="F82" s="73"/>
      <c r="G82" s="71">
        <v>4</v>
      </c>
      <c r="H82" s="71">
        <v>4</v>
      </c>
      <c r="I82" s="71">
        <v>4</v>
      </c>
      <c r="J82" s="71">
        <v>4</v>
      </c>
      <c r="K82" s="71">
        <v>4</v>
      </c>
      <c r="L82" s="71">
        <v>4</v>
      </c>
      <c r="M82" s="71">
        <v>4</v>
      </c>
      <c r="N82" s="71">
        <v>4</v>
      </c>
      <c r="O82" s="71">
        <v>4</v>
      </c>
      <c r="P82" s="75"/>
      <c r="Q82" s="71"/>
      <c r="R82" s="71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6"/>
      <c r="AM82" s="12"/>
      <c r="AN82" s="96"/>
      <c r="AO82" s="105"/>
      <c r="AP82" s="105"/>
      <c r="AQ82" s="11"/>
      <c r="AR82" s="11"/>
    </row>
    <row r="83" spans="1:44" s="4" customFormat="1" ht="19.5" thickBot="1" x14ac:dyDescent="0.35">
      <c r="A83" s="88"/>
      <c r="B83" s="89"/>
      <c r="C83" s="79"/>
      <c r="D83" s="80"/>
      <c r="E83" s="80"/>
      <c r="F83" s="81">
        <f t="shared" ref="F83" si="63">SUM(G83:AD83)</f>
        <v>0</v>
      </c>
      <c r="G83" s="79"/>
      <c r="H83" s="80"/>
      <c r="I83" s="80"/>
      <c r="J83" s="79"/>
      <c r="K83" s="79"/>
      <c r="L83" s="80"/>
      <c r="M83" s="80"/>
      <c r="N83" s="80"/>
      <c r="O83" s="80"/>
      <c r="P83" s="80"/>
      <c r="Q83" s="86"/>
      <c r="R83" s="86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1">
        <v>18</v>
      </c>
      <c r="AM83" s="12"/>
      <c r="AN83" s="96"/>
      <c r="AO83" s="105"/>
      <c r="AP83" s="105"/>
      <c r="AQ83" s="11"/>
      <c r="AR83" s="11"/>
    </row>
    <row r="84" spans="1:44" s="4" customFormat="1" ht="19.5" thickBot="1" x14ac:dyDescent="0.35">
      <c r="A84" s="102" t="s">
        <v>59</v>
      </c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4"/>
      <c r="AM84" s="11"/>
      <c r="AN84" s="11"/>
      <c r="AO84" s="11"/>
      <c r="AP84" s="11"/>
      <c r="AQ84" s="11"/>
      <c r="AR84" s="11"/>
    </row>
    <row r="85" spans="1:44" s="4" customFormat="1" ht="37.5" x14ac:dyDescent="0.3">
      <c r="A85" s="82">
        <v>28</v>
      </c>
      <c r="B85" s="83" t="s">
        <v>57</v>
      </c>
      <c r="C85" s="64">
        <f t="shared" ref="C85" si="64">SUM(D85:F87)</f>
        <v>48</v>
      </c>
      <c r="D85" s="65">
        <f t="shared" ref="D85" si="65">SUM(G85:AD85)</f>
        <v>20</v>
      </c>
      <c r="E85" s="65"/>
      <c r="F85" s="66"/>
      <c r="G85" s="153">
        <v>2</v>
      </c>
      <c r="H85" s="153">
        <v>4</v>
      </c>
      <c r="I85" s="153">
        <v>2</v>
      </c>
      <c r="J85" s="153">
        <v>4</v>
      </c>
      <c r="K85" s="153">
        <v>2</v>
      </c>
      <c r="L85" s="153">
        <v>2</v>
      </c>
      <c r="M85" s="153">
        <v>2</v>
      </c>
      <c r="N85" s="159">
        <v>2</v>
      </c>
      <c r="O85" s="149"/>
      <c r="P85" s="145"/>
      <c r="Q85" s="64"/>
      <c r="R85" s="64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6" t="s">
        <v>21</v>
      </c>
      <c r="AM85" s="11"/>
      <c r="AN85" s="11"/>
      <c r="AO85" s="11"/>
      <c r="AP85" s="11"/>
      <c r="AQ85" s="11"/>
      <c r="AR85" s="11"/>
    </row>
    <row r="86" spans="1:44" s="4" customFormat="1" x14ac:dyDescent="0.3">
      <c r="A86" s="84"/>
      <c r="B86" s="85"/>
      <c r="C86" s="71"/>
      <c r="D86" s="72"/>
      <c r="E86" s="72">
        <f t="shared" ref="E86" si="66">SUM(G86:AD86)</f>
        <v>28</v>
      </c>
      <c r="F86" s="73"/>
      <c r="G86" s="160">
        <v>4</v>
      </c>
      <c r="H86" s="160">
        <v>4</v>
      </c>
      <c r="I86" s="160">
        <v>4</v>
      </c>
      <c r="J86" s="138">
        <v>4</v>
      </c>
      <c r="K86" s="137">
        <v>4</v>
      </c>
      <c r="L86" s="160">
        <v>4</v>
      </c>
      <c r="M86" s="160">
        <v>2</v>
      </c>
      <c r="N86" s="161">
        <v>2</v>
      </c>
      <c r="O86" s="137"/>
      <c r="P86" s="138"/>
      <c r="Q86" s="71"/>
      <c r="R86" s="71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6"/>
      <c r="AM86" s="12"/>
      <c r="AN86" s="96"/>
      <c r="AO86" s="105"/>
      <c r="AP86" s="105"/>
      <c r="AQ86" s="11"/>
      <c r="AR86" s="11"/>
    </row>
    <row r="87" spans="1:44" s="4" customFormat="1" ht="19.5" thickBot="1" x14ac:dyDescent="0.35">
      <c r="A87" s="88"/>
      <c r="B87" s="89"/>
      <c r="C87" s="79"/>
      <c r="D87" s="80"/>
      <c r="E87" s="80"/>
      <c r="F87" s="81">
        <f t="shared" ref="F87" si="67">SUM(G87:AD87)</f>
        <v>0</v>
      </c>
      <c r="G87" s="142"/>
      <c r="H87" s="143"/>
      <c r="I87" s="142"/>
      <c r="J87" s="140"/>
      <c r="K87" s="140"/>
      <c r="L87" s="138"/>
      <c r="M87" s="138"/>
      <c r="N87" s="139"/>
      <c r="O87" s="142"/>
      <c r="P87" s="143"/>
      <c r="Q87" s="86"/>
      <c r="R87" s="86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1">
        <v>27</v>
      </c>
      <c r="AM87" s="12"/>
      <c r="AN87" s="96"/>
      <c r="AO87" s="105"/>
      <c r="AP87" s="105"/>
      <c r="AQ87" s="11"/>
      <c r="AR87" s="11"/>
    </row>
    <row r="88" spans="1:44" s="4" customFormat="1" ht="56.25" x14ac:dyDescent="0.3">
      <c r="A88" s="82">
        <v>28</v>
      </c>
      <c r="B88" s="83" t="s">
        <v>58</v>
      </c>
      <c r="C88" s="64">
        <f t="shared" ref="C88" si="68">SUM(D88:F90)</f>
        <v>48</v>
      </c>
      <c r="D88" s="65">
        <f t="shared" ref="D88" si="69">SUM(G88:AD88)</f>
        <v>20</v>
      </c>
      <c r="E88" s="65"/>
      <c r="F88" s="66"/>
      <c r="G88" s="153">
        <v>2</v>
      </c>
      <c r="H88" s="153">
        <v>4</v>
      </c>
      <c r="I88" s="153">
        <v>2</v>
      </c>
      <c r="J88" s="153">
        <v>4</v>
      </c>
      <c r="K88" s="153">
        <v>2</v>
      </c>
      <c r="L88" s="153">
        <v>2</v>
      </c>
      <c r="M88" s="153">
        <v>2</v>
      </c>
      <c r="N88" s="159">
        <v>2</v>
      </c>
      <c r="O88" s="149"/>
      <c r="P88" s="145"/>
      <c r="Q88" s="64"/>
      <c r="R88" s="64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6" t="s">
        <v>21</v>
      </c>
      <c r="AM88" s="11"/>
      <c r="AN88" s="11"/>
      <c r="AO88" s="11"/>
      <c r="AP88" s="11"/>
      <c r="AQ88" s="11"/>
      <c r="AR88" s="11"/>
    </row>
    <row r="89" spans="1:44" s="4" customFormat="1" x14ac:dyDescent="0.3">
      <c r="A89" s="84"/>
      <c r="B89" s="85"/>
      <c r="C89" s="71"/>
      <c r="D89" s="72"/>
      <c r="E89" s="72">
        <f t="shared" ref="E89" si="70">SUM(G89:AD89)</f>
        <v>28</v>
      </c>
      <c r="F89" s="73"/>
      <c r="G89" s="160">
        <v>4</v>
      </c>
      <c r="H89" s="160">
        <v>4</v>
      </c>
      <c r="I89" s="160">
        <v>4</v>
      </c>
      <c r="J89" s="138">
        <v>4</v>
      </c>
      <c r="K89" s="137">
        <v>4</v>
      </c>
      <c r="L89" s="160">
        <v>4</v>
      </c>
      <c r="M89" s="160">
        <v>2</v>
      </c>
      <c r="N89" s="161">
        <v>2</v>
      </c>
      <c r="O89" s="150"/>
      <c r="P89" s="146"/>
      <c r="Q89" s="71"/>
      <c r="R89" s="71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6"/>
      <c r="AM89" s="12"/>
      <c r="AN89" s="96"/>
      <c r="AO89" s="105"/>
      <c r="AP89" s="105"/>
      <c r="AQ89" s="11"/>
      <c r="AR89" s="11"/>
    </row>
    <row r="90" spans="1:44" s="4" customFormat="1" ht="19.5" thickBot="1" x14ac:dyDescent="0.35">
      <c r="A90" s="88"/>
      <c r="B90" s="89"/>
      <c r="C90" s="79"/>
      <c r="D90" s="80"/>
      <c r="E90" s="80"/>
      <c r="F90" s="81">
        <f t="shared" ref="F90" si="71">SUM(G90:AD90)</f>
        <v>0</v>
      </c>
      <c r="G90" s="142"/>
      <c r="H90" s="143"/>
      <c r="I90" s="142"/>
      <c r="J90" s="140"/>
      <c r="K90" s="140"/>
      <c r="L90" s="143"/>
      <c r="M90" s="162"/>
      <c r="N90" s="161"/>
      <c r="O90" s="140"/>
      <c r="P90" s="141"/>
      <c r="Q90" s="86"/>
      <c r="R90" s="86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1">
        <v>36</v>
      </c>
      <c r="AM90" s="12"/>
      <c r="AN90" s="96"/>
      <c r="AO90" s="105"/>
      <c r="AP90" s="105"/>
      <c r="AQ90" s="11"/>
      <c r="AR90" s="11"/>
    </row>
    <row r="91" spans="1:44" s="4" customFormat="1" ht="19.5" thickBot="1" x14ac:dyDescent="0.35">
      <c r="A91" s="102" t="s">
        <v>60</v>
      </c>
      <c r="B91" s="103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4"/>
      <c r="AM91" s="12"/>
      <c r="AN91" s="96"/>
      <c r="AO91" s="105"/>
      <c r="AP91" s="105"/>
      <c r="AQ91" s="11"/>
      <c r="AR91" s="11"/>
    </row>
    <row r="92" spans="1:44" s="4" customFormat="1" ht="19.5" x14ac:dyDescent="0.3">
      <c r="A92" s="62">
        <v>28</v>
      </c>
      <c r="B92" s="63" t="s">
        <v>42</v>
      </c>
      <c r="C92" s="64">
        <f t="shared" ref="C92" si="72">SUM(D92:F94)</f>
        <v>40</v>
      </c>
      <c r="D92" s="65">
        <f t="shared" ref="D92" si="73">SUM(G92:AD92)</f>
        <v>16</v>
      </c>
      <c r="E92" s="65"/>
      <c r="F92" s="66"/>
      <c r="G92" s="67">
        <v>2</v>
      </c>
      <c r="H92" s="67">
        <v>2</v>
      </c>
      <c r="I92" s="67">
        <v>2</v>
      </c>
      <c r="J92" s="67">
        <v>2</v>
      </c>
      <c r="K92" s="67">
        <v>2</v>
      </c>
      <c r="L92" s="67">
        <v>2</v>
      </c>
      <c r="M92" s="67">
        <v>2</v>
      </c>
      <c r="N92" s="67">
        <v>2</v>
      </c>
      <c r="O92" s="65"/>
      <c r="P92" s="65"/>
      <c r="Q92" s="64"/>
      <c r="R92" s="64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6" t="s">
        <v>26</v>
      </c>
    </row>
    <row r="93" spans="1:44" s="4" customFormat="1" ht="19.5" x14ac:dyDescent="0.3">
      <c r="A93" s="69"/>
      <c r="B93" s="70"/>
      <c r="C93" s="71"/>
      <c r="D93" s="72"/>
      <c r="E93" s="72">
        <f t="shared" ref="E93" si="74">SUM(G93:AD93)</f>
        <v>24</v>
      </c>
      <c r="F93" s="73"/>
      <c r="G93" s="71">
        <v>2</v>
      </c>
      <c r="H93" s="71">
        <v>4</v>
      </c>
      <c r="I93" s="71">
        <v>2</v>
      </c>
      <c r="J93" s="71">
        <v>4</v>
      </c>
      <c r="K93" s="71">
        <v>2</v>
      </c>
      <c r="L93" s="71">
        <v>4</v>
      </c>
      <c r="M93" s="71">
        <v>2</v>
      </c>
      <c r="N93" s="71">
        <v>4</v>
      </c>
      <c r="O93" s="75"/>
      <c r="P93" s="75"/>
      <c r="Q93" s="71"/>
      <c r="R93" s="71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6"/>
    </row>
    <row r="94" spans="1:44" s="4" customFormat="1" ht="21.75" customHeight="1" thickBot="1" x14ac:dyDescent="0.35">
      <c r="A94" s="77"/>
      <c r="B94" s="78"/>
      <c r="C94" s="79"/>
      <c r="D94" s="80"/>
      <c r="E94" s="80"/>
      <c r="F94" s="81">
        <f t="shared" ref="F94" si="75">SUM(G94:AD94)</f>
        <v>0</v>
      </c>
      <c r="G94" s="79"/>
      <c r="H94" s="80"/>
      <c r="I94" s="80"/>
      <c r="J94" s="79"/>
      <c r="K94" s="79"/>
      <c r="L94" s="80"/>
      <c r="M94" s="80"/>
      <c r="N94" s="80"/>
      <c r="O94" s="80"/>
      <c r="P94" s="80"/>
      <c r="Q94" s="79"/>
      <c r="R94" s="79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1">
        <v>45</v>
      </c>
      <c r="AM94" s="11"/>
      <c r="AN94" s="11"/>
      <c r="AO94" s="11"/>
      <c r="AP94" s="11"/>
      <c r="AQ94" s="11"/>
      <c r="AR94" s="11"/>
    </row>
  </sheetData>
  <mergeCells count="73">
    <mergeCell ref="A31:AE31"/>
    <mergeCell ref="A30:AE30"/>
    <mergeCell ref="AO37:AP37"/>
    <mergeCell ref="AO40:AP40"/>
    <mergeCell ref="AO43:AP43"/>
    <mergeCell ref="AO44:AP44"/>
    <mergeCell ref="AO47:AP47"/>
    <mergeCell ref="A35:AE35"/>
    <mergeCell ref="AF50:AK50"/>
    <mergeCell ref="A48:AE48"/>
    <mergeCell ref="A53:AE53"/>
    <mergeCell ref="A52:AE52"/>
    <mergeCell ref="AO91:AP91"/>
    <mergeCell ref="AO90:AP90"/>
    <mergeCell ref="A91:AE91"/>
    <mergeCell ref="AO46:AP46"/>
    <mergeCell ref="AO48:AP48"/>
    <mergeCell ref="AO38:AP38"/>
    <mergeCell ref="AO65:AP65"/>
    <mergeCell ref="AO62:AP62"/>
    <mergeCell ref="AO56:AP56"/>
    <mergeCell ref="AO53:AP53"/>
    <mergeCell ref="AO59:AP59"/>
    <mergeCell ref="AO55:AP55"/>
    <mergeCell ref="AO63:AP63"/>
    <mergeCell ref="AO60:AP60"/>
    <mergeCell ref="A57:AE57"/>
    <mergeCell ref="G5:H5"/>
    <mergeCell ref="L13:AO13"/>
    <mergeCell ref="A14:AE14"/>
    <mergeCell ref="A26:AE26"/>
    <mergeCell ref="AO26:AP26"/>
    <mergeCell ref="AO21:AP21"/>
    <mergeCell ref="AO22:AP22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A15:AE15"/>
    <mergeCell ref="A19:AE19"/>
    <mergeCell ref="AO19:AP19"/>
    <mergeCell ref="AO86:AP86"/>
    <mergeCell ref="AO82:AP82"/>
    <mergeCell ref="AO89:AP89"/>
    <mergeCell ref="AO73:AP73"/>
    <mergeCell ref="AO74:AP74"/>
    <mergeCell ref="AO78:AP78"/>
    <mergeCell ref="AO79:AP79"/>
    <mergeCell ref="A76:AE76"/>
    <mergeCell ref="AO83:AP83"/>
    <mergeCell ref="A80:AE80"/>
    <mergeCell ref="A84:AE84"/>
    <mergeCell ref="A75:AE75"/>
    <mergeCell ref="AO87:AP87"/>
    <mergeCell ref="AO66:AP66"/>
    <mergeCell ref="AO67:AP67"/>
    <mergeCell ref="AO71:AP71"/>
    <mergeCell ref="A67:AE67"/>
    <mergeCell ref="A71:AE71"/>
    <mergeCell ref="AO41:AP41"/>
    <mergeCell ref="AO35:AP35"/>
  </mergeCells>
  <conditionalFormatting sqref="A94">
    <cfRule type="expression" dxfId="26" priority="9" stopIfTrue="1">
      <formula>$DB90=1</formula>
    </cfRule>
  </conditionalFormatting>
  <conditionalFormatting sqref="A94:B94">
    <cfRule type="expression" dxfId="25" priority="7" stopIfTrue="1">
      <formula>$CV90&gt;0</formula>
    </cfRule>
    <cfRule type="expression" dxfId="24" priority="8" stopIfTrue="1">
      <formula>$CU90&gt;0</formula>
    </cfRule>
  </conditionalFormatting>
  <conditionalFormatting sqref="A70">
    <cfRule type="expression" dxfId="23" priority="15" stopIfTrue="1">
      <formula>$DB66=1</formula>
    </cfRule>
  </conditionalFormatting>
  <conditionalFormatting sqref="A70:B70">
    <cfRule type="expression" dxfId="22" priority="13" stopIfTrue="1">
      <formula>$CV66&gt;0</formula>
    </cfRule>
    <cfRule type="expression" dxfId="21" priority="14" stopIfTrue="1">
      <formula>$CU66&gt;0</formula>
    </cfRule>
  </conditionalFormatting>
  <conditionalFormatting sqref="A70">
    <cfRule type="expression" dxfId="20" priority="12" stopIfTrue="1">
      <formula>$DC66=1</formula>
    </cfRule>
  </conditionalFormatting>
  <conditionalFormatting sqref="A70:B70">
    <cfRule type="expression" dxfId="19" priority="10" stopIfTrue="1">
      <formula>$CW66&gt;0</formula>
    </cfRule>
    <cfRule type="expression" dxfId="18" priority="11" stopIfTrue="1">
      <formula>$CV66&gt;0</formula>
    </cfRule>
  </conditionalFormatting>
  <conditionalFormatting sqref="A70">
    <cfRule type="expression" dxfId="17" priority="16" stopIfTrue="1">
      <formula>$DB66=1</formula>
    </cfRule>
  </conditionalFormatting>
  <conditionalFormatting sqref="A70:B70">
    <cfRule type="expression" dxfId="16" priority="17" stopIfTrue="1">
      <formula>$CV66&gt;0</formula>
    </cfRule>
    <cfRule type="expression" dxfId="15" priority="18" stopIfTrue="1">
      <formula>$CU66&gt;0</formula>
    </cfRule>
  </conditionalFormatting>
  <conditionalFormatting sqref="A94">
    <cfRule type="expression" dxfId="14" priority="6" stopIfTrue="1">
      <formula>$DB90=1</formula>
    </cfRule>
  </conditionalFormatting>
  <conditionalFormatting sqref="A94:B94">
    <cfRule type="expression" dxfId="13" priority="4" stopIfTrue="1">
      <formula>$CV90&gt;0</formula>
    </cfRule>
    <cfRule type="expression" dxfId="12" priority="5" stopIfTrue="1">
      <formula>$CU90&gt;0</formula>
    </cfRule>
  </conditionalFormatting>
  <conditionalFormatting sqref="A94">
    <cfRule type="expression" dxfId="11" priority="3" stopIfTrue="1">
      <formula>$DC90=1</formula>
    </cfRule>
  </conditionalFormatting>
  <conditionalFormatting sqref="A94:B94">
    <cfRule type="expression" dxfId="10" priority="1" stopIfTrue="1">
      <formula>$CW90&gt;0</formula>
    </cfRule>
    <cfRule type="expression" dxfId="9" priority="2" stopIfTrue="1">
      <formula>$CV90&gt;0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3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Наташа</cp:lastModifiedBy>
  <cp:lastPrinted>2021-10-06T09:01:46Z</cp:lastPrinted>
  <dcterms:created xsi:type="dcterms:W3CDTF">2015-02-10T13:27:18Z</dcterms:created>
  <dcterms:modified xsi:type="dcterms:W3CDTF">2021-10-21T11:13:56Z</dcterms:modified>
</cp:coreProperties>
</file>