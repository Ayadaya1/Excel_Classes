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0" windowWidth="25200" windowHeight="11385"/>
  </bookViews>
  <sheets>
    <sheet name="Лист1" sheetId="1" r:id="rId1"/>
    <sheet name="Лист2" sheetId="2" r:id="rId2"/>
    <sheet name="Лист3" sheetId="3" r:id="rId3"/>
  </sheets>
  <definedNames>
    <definedName name="_xlnm.Print_Titles" localSheetId="0">Лист1!$5:$12</definedName>
  </definedNames>
  <calcPr calcId="125725" refMode="R1C1"/>
</workbook>
</file>

<file path=xl/calcChain.xml><?xml version="1.0" encoding="utf-8"?>
<calcChain xmlns="http://schemas.openxmlformats.org/spreadsheetml/2006/main">
  <c r="F81" i="1"/>
  <c r="E80"/>
  <c r="D79"/>
  <c r="C79" s="1"/>
  <c r="F77"/>
  <c r="E76"/>
  <c r="D75"/>
  <c r="C75" s="1"/>
  <c r="F52"/>
  <c r="E51"/>
  <c r="D50"/>
  <c r="C50" s="1"/>
  <c r="F35"/>
  <c r="E34"/>
  <c r="D33"/>
  <c r="C33" s="1"/>
  <c r="F32"/>
  <c r="E31"/>
  <c r="D30"/>
  <c r="C30" s="1"/>
  <c r="F39" l="1"/>
  <c r="E38"/>
  <c r="D37"/>
  <c r="C37" s="1"/>
  <c r="F90"/>
  <c r="E89"/>
  <c r="D88"/>
  <c r="C88" s="1"/>
  <c r="F73" l="1"/>
  <c r="E72"/>
  <c r="D71"/>
  <c r="C71" s="1"/>
  <c r="F69" l="1"/>
  <c r="E68"/>
  <c r="D67"/>
  <c r="C67"/>
  <c r="F65" l="1"/>
  <c r="E64"/>
  <c r="D63"/>
  <c r="C63" l="1"/>
  <c r="F21"/>
  <c r="E20"/>
  <c r="D19"/>
  <c r="F18"/>
  <c r="E17"/>
  <c r="D16"/>
  <c r="D23"/>
  <c r="E24"/>
  <c r="F25"/>
  <c r="D26"/>
  <c r="E27"/>
  <c r="C16" l="1"/>
  <c r="C23"/>
  <c r="C19"/>
  <c r="F28"/>
  <c r="C26" s="1"/>
  <c r="F85" l="1"/>
  <c r="E84"/>
  <c r="D83"/>
  <c r="C83" l="1"/>
  <c r="F60"/>
  <c r="E59"/>
  <c r="D58"/>
  <c r="C58" l="1"/>
  <c r="F56"/>
  <c r="E55"/>
  <c r="D54"/>
  <c r="C54" l="1"/>
  <c r="F47"/>
  <c r="E46"/>
  <c r="D45"/>
  <c r="C45" l="1"/>
  <c r="F43"/>
  <c r="E42"/>
  <c r="D41"/>
  <c r="C41" l="1"/>
</calcChain>
</file>

<file path=xl/sharedStrings.xml><?xml version="1.0" encoding="utf-8"?>
<sst xmlns="http://schemas.openxmlformats.org/spreadsheetml/2006/main" count="83" uniqueCount="54">
  <si>
    <t>Наименование дисциплины</t>
  </si>
  <si>
    <t>№ кафедры</t>
  </si>
  <si>
    <t>Всего</t>
  </si>
  <si>
    <t>в т.ч</t>
  </si>
  <si>
    <t>Количество аудиторных часов</t>
  </si>
  <si>
    <t>Выходной контроль</t>
  </si>
  <si>
    <t>лекции</t>
  </si>
  <si>
    <t>практики</t>
  </si>
  <si>
    <t>лабораторные работы</t>
  </si>
  <si>
    <t>Январь</t>
  </si>
  <si>
    <t xml:space="preserve">  Ф е в р а л ь   </t>
  </si>
  <si>
    <t xml:space="preserve">            М а р т            </t>
  </si>
  <si>
    <t xml:space="preserve"> А п р е л ь</t>
  </si>
  <si>
    <t>М а й</t>
  </si>
  <si>
    <t>И ю н ь</t>
  </si>
  <si>
    <t>Зачет</t>
  </si>
  <si>
    <t xml:space="preserve">                     Учебная сетка</t>
  </si>
  <si>
    <t xml:space="preserve">                     Весенний семестр  2021/2022 учебный год</t>
  </si>
  <si>
    <t xml:space="preserve">               1 КУРС</t>
  </si>
  <si>
    <t>Дифф.зачет</t>
  </si>
  <si>
    <t xml:space="preserve">                                       Дисциплины 313 (ОАБ)</t>
  </si>
  <si>
    <t xml:space="preserve">                                       Дисциплины 213, 214, 214а (ОрАД)</t>
  </si>
  <si>
    <t>Дифф. зачет</t>
  </si>
  <si>
    <t xml:space="preserve">               3 КУРС</t>
  </si>
  <si>
    <t xml:space="preserve">                                       Дисциплины 391 (АСУВД)</t>
  </si>
  <si>
    <t xml:space="preserve">                                            Кафедра № 10</t>
  </si>
  <si>
    <t>Дисциплины кафедры № 10</t>
  </si>
  <si>
    <t>Экология</t>
  </si>
  <si>
    <t>Авиационная метеорология</t>
  </si>
  <si>
    <t>Промышленная экология. Экологическая безопасность</t>
  </si>
  <si>
    <t xml:space="preserve">                                       Дисциплины 397 (БТПП)</t>
  </si>
  <si>
    <t xml:space="preserve">               4 КУРС</t>
  </si>
  <si>
    <t>Экзамен</t>
  </si>
  <si>
    <t xml:space="preserve">                                       Дисциплины 285 (ОРТОП)</t>
  </si>
  <si>
    <t>Дисциплины  113,114 (ЛЭГВС)</t>
  </si>
  <si>
    <t>КР</t>
  </si>
  <si>
    <t>Метеорологические коды и сводки</t>
  </si>
  <si>
    <t>факультатив</t>
  </si>
  <si>
    <t>Дисциплины  110,111,112 (ОЛР)</t>
  </si>
  <si>
    <t>Дисциплины  183 (ЛЭГВС)</t>
  </si>
  <si>
    <t xml:space="preserve">Экзамен </t>
  </si>
  <si>
    <t>Дисциплины  184 (ЛЭГВС)</t>
  </si>
  <si>
    <t>Дисциплины  184а (ЛЭГВС)</t>
  </si>
  <si>
    <t>Дисциплины  170,171,172 (ОЛР)</t>
  </si>
  <si>
    <t xml:space="preserve">               5 КУРС</t>
  </si>
  <si>
    <t>Дисциплины  118,119 (ОрАНО)</t>
  </si>
  <si>
    <t>Орнитологическое обеспечение полетов и обслуживания воздушного движения</t>
  </si>
  <si>
    <t xml:space="preserve">Зачет </t>
  </si>
  <si>
    <t>Дисциплины  115,116,117 (ОрВД)</t>
  </si>
  <si>
    <t>Дисциплины  195,196,197,197а (ИВП)</t>
  </si>
  <si>
    <t>Метеорологическое обеспечение полетов</t>
  </si>
  <si>
    <t>Дисциплины   185,186,187,187а  (ИВП)</t>
  </si>
  <si>
    <t>Авиационная климатология</t>
  </si>
  <si>
    <t>Дисциплины  188,189 (ОрАНО)</t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</si>
</sst>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charset val="204"/>
      <scheme val="minor"/>
    </font>
    <font>
      <sz val="8"/>
      <color indexed="8"/>
      <name val="Tahoma"/>
      <family val="2"/>
      <charset val="204"/>
    </font>
    <font>
      <b/>
      <sz val="14"/>
      <name val="Times New Roman"/>
      <family val="1"/>
      <charset val="204"/>
    </font>
    <font>
      <sz val="14"/>
      <name val="Times New Roman"/>
      <family val="1"/>
      <charset val="204"/>
    </font>
    <font>
      <b/>
      <i/>
      <sz val="14"/>
      <name val="Times New Roman"/>
      <family val="1"/>
      <charset val="204"/>
    </font>
    <font>
      <sz val="12"/>
      <name val="Times New Roman"/>
      <family val="1"/>
      <charset val="204"/>
    </font>
    <font>
      <b/>
      <i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3.5"/>
      <name val="Times New Roman"/>
      <family val="1"/>
      <charset val="204"/>
    </font>
    <font>
      <b/>
      <sz val="13.5"/>
      <name val="Times New Roman Cyr"/>
      <family val="1"/>
      <charset val="204"/>
    </font>
    <font>
      <sz val="13.5"/>
      <name val="Times New Roman Cyr"/>
      <charset val="204"/>
    </font>
    <font>
      <sz val="9"/>
      <color indexed="8"/>
      <name val="Tahoma"/>
      <family val="2"/>
      <charset val="204"/>
    </font>
    <font>
      <b/>
      <sz val="14"/>
      <color theme="1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194">
    <xf numFmtId="0" fontId="0" fillId="0" borderId="0" xfId="0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Fill="1" applyAlignment="1">
      <alignment wrapText="1"/>
    </xf>
    <xf numFmtId="0" fontId="10" fillId="2" borderId="35" xfId="0" applyFont="1" applyFill="1" applyBorder="1" applyAlignment="1">
      <alignment horizontal="center" vertical="center"/>
    </xf>
    <xf numFmtId="0" fontId="10" fillId="2" borderId="25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10" fillId="2" borderId="36" xfId="0" applyFont="1" applyFill="1" applyBorder="1" applyAlignment="1">
      <alignment horizontal="center" vertical="center"/>
    </xf>
    <xf numFmtId="0" fontId="10" fillId="2" borderId="22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wrapText="1"/>
    </xf>
    <xf numFmtId="49" fontId="11" fillId="0" borderId="0" xfId="1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0" fillId="0" borderId="24" xfId="0" applyFont="1" applyFill="1" applyBorder="1" applyAlignment="1">
      <alignment horizontal="center" vertical="center"/>
    </xf>
    <xf numFmtId="0" fontId="9" fillId="3" borderId="38" xfId="0" applyFont="1" applyFill="1" applyBorder="1" applyAlignment="1">
      <alignment horizontal="center" vertical="center"/>
    </xf>
    <xf numFmtId="0" fontId="9" fillId="3" borderId="39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30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3" borderId="26" xfId="0" applyFont="1" applyFill="1" applyBorder="1" applyAlignment="1">
      <alignment horizontal="center" vertical="center"/>
    </xf>
    <xf numFmtId="0" fontId="9" fillId="3" borderId="40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41" xfId="0" applyFont="1" applyFill="1" applyBorder="1" applyAlignment="1">
      <alignment horizontal="center" vertical="center"/>
    </xf>
    <xf numFmtId="0" fontId="9" fillId="3" borderId="4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3" borderId="33" xfId="0" applyFont="1" applyFill="1" applyBorder="1" applyAlignment="1">
      <alignment horizontal="center" vertical="center"/>
    </xf>
    <xf numFmtId="0" fontId="9" fillId="3" borderId="32" xfId="0" applyFont="1" applyFill="1" applyBorder="1" applyAlignment="1">
      <alignment horizontal="center" vertical="center"/>
    </xf>
    <xf numFmtId="0" fontId="9" fillId="3" borderId="16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/>
    </xf>
    <xf numFmtId="0" fontId="10" fillId="0" borderId="26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9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horizontal="center" vertical="center"/>
    </xf>
    <xf numFmtId="0" fontId="9" fillId="3" borderId="45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0" fontId="9" fillId="4" borderId="3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2" borderId="21" xfId="0" applyFont="1" applyFill="1" applyBorder="1" applyAlignment="1">
      <alignment vertical="center"/>
    </xf>
    <xf numFmtId="0" fontId="9" fillId="2" borderId="22" xfId="0" applyFont="1" applyFill="1" applyBorder="1" applyAlignment="1">
      <alignment vertical="center"/>
    </xf>
    <xf numFmtId="0" fontId="9" fillId="2" borderId="23" xfId="0" applyFont="1" applyFill="1" applyBorder="1" applyAlignment="1">
      <alignment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44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2" borderId="48" xfId="0" applyFont="1" applyFill="1" applyBorder="1" applyAlignment="1">
      <alignment horizontal="center" vertical="center"/>
    </xf>
    <xf numFmtId="0" fontId="4" fillId="3" borderId="8" xfId="0" applyFont="1" applyFill="1" applyBorder="1" applyAlignment="1" applyProtection="1">
      <alignment horizontal="center" vertical="center" wrapText="1" shrinkToFit="1"/>
    </xf>
    <xf numFmtId="49" fontId="3" fillId="3" borderId="7" xfId="0" applyNumberFormat="1" applyFont="1" applyFill="1" applyBorder="1" applyAlignment="1" applyProtection="1">
      <alignment horizontal="left" vertical="top" wrapText="1"/>
    </xf>
    <xf numFmtId="0" fontId="3" fillId="3" borderId="13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3" fillId="3" borderId="49" xfId="0" applyFont="1" applyFill="1" applyBorder="1" applyAlignment="1">
      <alignment horizontal="center" vertical="center" wrapText="1"/>
    </xf>
    <xf numFmtId="0" fontId="3" fillId="3" borderId="50" xfId="0" applyFont="1" applyFill="1" applyBorder="1" applyAlignment="1">
      <alignment horizontal="center" vertical="center" wrapText="1"/>
    </xf>
    <xf numFmtId="1" fontId="4" fillId="3" borderId="9" xfId="0" applyNumberFormat="1" applyFont="1" applyFill="1" applyBorder="1" applyAlignment="1" applyProtection="1">
      <alignment horizontal="center" vertical="center" wrapText="1" shrinkToFit="1"/>
    </xf>
    <xf numFmtId="49" fontId="3" fillId="3" borderId="10" xfId="0" applyNumberFormat="1" applyFont="1" applyFill="1" applyBorder="1" applyAlignment="1" applyProtection="1">
      <alignment horizontal="left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31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 applyProtection="1">
      <alignment horizontal="center" vertical="center" wrapText="1" shrinkToFit="1"/>
    </xf>
    <xf numFmtId="49" fontId="3" fillId="3" borderId="16" xfId="0" applyNumberFormat="1" applyFont="1" applyFill="1" applyBorder="1" applyAlignment="1" applyProtection="1">
      <alignment horizontal="left" vertical="center" wrapText="1"/>
    </xf>
    <xf numFmtId="0" fontId="3" fillId="3" borderId="14" xfId="0" applyFont="1" applyFill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1" fontId="6" fillId="3" borderId="8" xfId="0" applyNumberFormat="1" applyFont="1" applyFill="1" applyBorder="1" applyAlignment="1" applyProtection="1">
      <alignment horizontal="center" vertical="center" wrapText="1" shrinkToFit="1"/>
    </xf>
    <xf numFmtId="49" fontId="7" fillId="3" borderId="7" xfId="0" applyNumberFormat="1" applyFont="1" applyFill="1" applyBorder="1" applyAlignment="1" applyProtection="1">
      <alignment horizontal="left" vertical="top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0" xfId="0" applyFont="1" applyFill="1" applyBorder="1" applyAlignment="1">
      <alignment wrapText="1"/>
    </xf>
    <xf numFmtId="0" fontId="3" fillId="3" borderId="37" xfId="0" applyFont="1" applyFill="1" applyBorder="1" applyAlignment="1">
      <alignment horizontal="center" vertical="center" wrapText="1"/>
    </xf>
    <xf numFmtId="0" fontId="3" fillId="3" borderId="18" xfId="0" applyFont="1" applyFill="1" applyBorder="1" applyAlignment="1">
      <alignment horizontal="center" vertical="center" wrapText="1"/>
    </xf>
    <xf numFmtId="0" fontId="7" fillId="3" borderId="43" xfId="0" applyFont="1" applyFill="1" applyBorder="1" applyAlignment="1">
      <alignment horizontal="center" vertical="center" wrapText="1"/>
    </xf>
    <xf numFmtId="0" fontId="7" fillId="3" borderId="16" xfId="0" applyFont="1" applyFill="1" applyBorder="1" applyAlignment="1">
      <alignment wrapText="1"/>
    </xf>
    <xf numFmtId="0" fontId="3" fillId="3" borderId="4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" fillId="0" borderId="17" xfId="0" applyFont="1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49" fontId="1" fillId="0" borderId="0" xfId="1" applyNumberFormat="1" applyFont="1" applyFill="1" applyBorder="1" applyAlignment="1">
      <alignment horizontal="left" vertical="center"/>
    </xf>
    <xf numFmtId="0" fontId="7" fillId="3" borderId="15" xfId="0" applyFont="1" applyFill="1" applyBorder="1" applyAlignment="1">
      <alignment horizontal="center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7" fillId="3" borderId="0" xfId="0" applyFont="1" applyFill="1" applyBorder="1" applyAlignment="1">
      <alignment wrapText="1"/>
    </xf>
    <xf numFmtId="0" fontId="3" fillId="3" borderId="0" xfId="0" applyFont="1" applyFill="1" applyBorder="1" applyAlignment="1">
      <alignment horizontal="center" vertical="center" wrapText="1"/>
    </xf>
    <xf numFmtId="0" fontId="7" fillId="3" borderId="0" xfId="0" applyFont="1" applyFill="1" applyBorder="1" applyAlignment="1">
      <alignment horizontal="center" vertical="center" wrapText="1"/>
    </xf>
    <xf numFmtId="0" fontId="3" fillId="3" borderId="15" xfId="0" applyFont="1" applyFill="1" applyBorder="1" applyAlignment="1">
      <alignment horizontal="center" vertical="center" wrapText="1"/>
    </xf>
    <xf numFmtId="0" fontId="3" fillId="3" borderId="33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wrapText="1"/>
    </xf>
    <xf numFmtId="0" fontId="3" fillId="3" borderId="52" xfId="0" applyFont="1" applyFill="1" applyBorder="1" applyAlignment="1">
      <alignment horizontal="center" vertical="center" wrapText="1"/>
    </xf>
    <xf numFmtId="0" fontId="3" fillId="3" borderId="53" xfId="0" applyFont="1" applyFill="1" applyBorder="1" applyAlignment="1">
      <alignment horizontal="center" vertical="center" wrapText="1"/>
    </xf>
    <xf numFmtId="0" fontId="3" fillId="3" borderId="54" xfId="0" applyFont="1" applyFill="1" applyBorder="1" applyAlignment="1">
      <alignment horizontal="center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1" fontId="6" fillId="0" borderId="8" xfId="0" applyNumberFormat="1" applyFont="1" applyFill="1" applyBorder="1" applyAlignment="1" applyProtection="1">
      <alignment horizontal="center" vertical="center" wrapText="1" shrinkToFit="1"/>
    </xf>
    <xf numFmtId="49" fontId="7" fillId="0" borderId="7" xfId="0" applyNumberFormat="1" applyFont="1" applyFill="1" applyBorder="1" applyAlignment="1" applyProtection="1">
      <alignment horizontal="left" vertical="top" wrapText="1"/>
    </xf>
    <xf numFmtId="0" fontId="3" fillId="0" borderId="13" xfId="0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 wrapText="1"/>
    </xf>
    <xf numFmtId="0" fontId="3" fillId="0" borderId="52" xfId="0" applyFont="1" applyFill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0" fontId="7" fillId="0" borderId="9" xfId="0" applyFont="1" applyFill="1" applyBorder="1" applyAlignment="1">
      <alignment horizontal="center" vertical="center" wrapText="1"/>
    </xf>
    <xf numFmtId="0" fontId="7" fillId="0" borderId="10" xfId="0" applyFont="1" applyFill="1" applyBorder="1" applyAlignment="1">
      <alignment wrapText="1"/>
    </xf>
    <xf numFmtId="0" fontId="3" fillId="0" borderId="2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3" fillId="0" borderId="55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 vertical="center" wrapText="1"/>
    </xf>
    <xf numFmtId="0" fontId="5" fillId="0" borderId="10" xfId="0" applyFont="1" applyFill="1" applyBorder="1" applyAlignment="1">
      <alignment horizontal="center" vertical="center" wrapText="1"/>
    </xf>
    <xf numFmtId="0" fontId="3" fillId="0" borderId="14" xfId="0" applyFont="1" applyFill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 wrapText="1"/>
    </xf>
    <xf numFmtId="0" fontId="3" fillId="0" borderId="54" xfId="0" applyFont="1" applyFill="1" applyBorder="1" applyAlignment="1">
      <alignment horizontal="center" vertical="center" wrapText="1"/>
    </xf>
    <xf numFmtId="0" fontId="3" fillId="0" borderId="12" xfId="0" applyFont="1" applyFill="1" applyBorder="1" applyAlignment="1">
      <alignment horizontal="center" vertical="center" wrapText="1"/>
    </xf>
    <xf numFmtId="0" fontId="7" fillId="0" borderId="15" xfId="0" applyFont="1" applyFill="1" applyBorder="1" applyAlignment="1">
      <alignment horizontal="center" vertical="center" wrapText="1"/>
    </xf>
    <xf numFmtId="0" fontId="7" fillId="0" borderId="16" xfId="0" applyFont="1" applyFill="1" applyBorder="1" applyAlignment="1">
      <alignment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18" xfId="0" applyFont="1" applyFill="1" applyBorder="1" applyAlignment="1">
      <alignment horizontal="center" vertical="center" wrapText="1"/>
    </xf>
    <xf numFmtId="0" fontId="3" fillId="0" borderId="16" xfId="0" applyFont="1" applyFill="1" applyBorder="1" applyAlignment="1">
      <alignment horizontal="center" vertical="center" wrapText="1"/>
    </xf>
    <xf numFmtId="0" fontId="3" fillId="0" borderId="8" xfId="0" applyFont="1" applyFill="1" applyBorder="1" applyAlignment="1">
      <alignment wrapText="1"/>
    </xf>
    <xf numFmtId="0" fontId="3" fillId="0" borderId="59" xfId="0" applyFont="1" applyFill="1" applyBorder="1" applyAlignment="1">
      <alignment wrapText="1"/>
    </xf>
    <xf numFmtId="0" fontId="2" fillId="0" borderId="50" xfId="0" applyFont="1" applyFill="1" applyBorder="1" applyAlignment="1">
      <alignment wrapText="1"/>
    </xf>
    <xf numFmtId="0" fontId="2" fillId="0" borderId="11" xfId="0" applyFont="1" applyFill="1" applyBorder="1" applyAlignment="1">
      <alignment wrapText="1"/>
    </xf>
    <xf numFmtId="0" fontId="2" fillId="0" borderId="1" xfId="0" applyFont="1" applyFill="1" applyBorder="1" applyAlignment="1">
      <alignment wrapText="1"/>
    </xf>
    <xf numFmtId="0" fontId="3" fillId="0" borderId="40" xfId="0" applyFont="1" applyFill="1" applyBorder="1" applyAlignment="1">
      <alignment wrapText="1"/>
    </xf>
    <xf numFmtId="0" fontId="3" fillId="0" borderId="41" xfId="0" applyFont="1" applyFill="1" applyBorder="1" applyAlignment="1">
      <alignment wrapText="1"/>
    </xf>
    <xf numFmtId="0" fontId="3" fillId="0" borderId="15" xfId="0" applyFont="1" applyFill="1" applyBorder="1" applyAlignment="1">
      <alignment wrapText="1"/>
    </xf>
    <xf numFmtId="0" fontId="3" fillId="0" borderId="5" xfId="0" applyFont="1" applyFill="1" applyBorder="1" applyAlignment="1">
      <alignment horizontal="center" vertical="center" wrapText="1"/>
    </xf>
    <xf numFmtId="0" fontId="7" fillId="0" borderId="43" xfId="0" applyFont="1" applyFill="1" applyBorder="1" applyAlignment="1">
      <alignment horizontal="center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2" fillId="0" borderId="4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 wrapText="1"/>
    </xf>
    <xf numFmtId="0" fontId="2" fillId="0" borderId="51" xfId="0" applyFont="1" applyFill="1" applyBorder="1" applyAlignment="1">
      <alignment horizontal="center" wrapText="1"/>
    </xf>
    <xf numFmtId="0" fontId="2" fillId="0" borderId="51" xfId="0" applyFont="1" applyBorder="1" applyAlignment="1">
      <alignment horizont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2" fillId="0" borderId="21" xfId="0" applyFont="1" applyFill="1" applyBorder="1" applyAlignment="1">
      <alignment horizontal="center" wrapText="1"/>
    </xf>
    <xf numFmtId="0" fontId="2" fillId="0" borderId="22" xfId="0" applyFont="1" applyFill="1" applyBorder="1" applyAlignment="1">
      <alignment horizontal="center" wrapText="1"/>
    </xf>
    <xf numFmtId="0" fontId="2" fillId="0" borderId="23" xfId="0" applyFont="1" applyFill="1" applyBorder="1" applyAlignment="1">
      <alignment horizontal="center" wrapText="1"/>
    </xf>
    <xf numFmtId="0" fontId="2" fillId="0" borderId="20" xfId="0" applyFont="1" applyFill="1" applyBorder="1" applyAlignment="1">
      <alignment horizontal="center" wrapText="1"/>
    </xf>
    <xf numFmtId="0" fontId="2" fillId="0" borderId="17" xfId="0" applyFont="1" applyFill="1" applyBorder="1" applyAlignment="1">
      <alignment horizontal="center" wrapText="1"/>
    </xf>
    <xf numFmtId="0" fontId="2" fillId="0" borderId="56" xfId="0" applyFont="1" applyFill="1" applyBorder="1" applyAlignment="1">
      <alignment horizontal="center" wrapText="1"/>
    </xf>
    <xf numFmtId="0" fontId="2" fillId="0" borderId="28" xfId="0" applyFont="1" applyFill="1" applyBorder="1" applyAlignment="1">
      <alignment horizontal="center" wrapText="1"/>
    </xf>
    <xf numFmtId="0" fontId="2" fillId="0" borderId="29" xfId="0" applyFont="1" applyFill="1" applyBorder="1" applyAlignment="1">
      <alignment horizontal="center" wrapText="1"/>
    </xf>
    <xf numFmtId="0" fontId="2" fillId="0" borderId="57" xfId="0" applyFont="1" applyFill="1" applyBorder="1" applyAlignment="1">
      <alignment horizontal="center" wrapText="1"/>
    </xf>
    <xf numFmtId="0" fontId="2" fillId="0" borderId="58" xfId="0" applyFont="1" applyFill="1" applyBorder="1" applyAlignment="1">
      <alignment horizontal="center" wrapText="1"/>
    </xf>
    <xf numFmtId="0" fontId="9" fillId="2" borderId="20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2" fillId="0" borderId="51" xfId="0" applyFont="1" applyBorder="1" applyAlignment="1">
      <alignment horizontal="center" vertical="center" wrapText="1"/>
    </xf>
    <xf numFmtId="0" fontId="2" fillId="0" borderId="0" xfId="0" applyFont="1" applyFill="1" applyBorder="1" applyAlignment="1">
      <alignment horizontal="left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8" fillId="0" borderId="20" xfId="0" applyFont="1" applyFill="1" applyBorder="1" applyAlignment="1">
      <alignment horizontal="center" vertical="center" wrapText="1"/>
    </xf>
    <xf numFmtId="0" fontId="8" fillId="0" borderId="17" xfId="0" applyFont="1" applyFill="1" applyBorder="1" applyAlignment="1">
      <alignment horizontal="center" vertical="center" wrapText="1"/>
    </xf>
    <xf numFmtId="0" fontId="8" fillId="0" borderId="28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8" fillId="0" borderId="29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/>
    </xf>
    <xf numFmtId="0" fontId="8" fillId="0" borderId="27" xfId="0" applyFont="1" applyFill="1" applyBorder="1" applyAlignment="1">
      <alignment horizontal="center" vertical="center" textRotation="90"/>
    </xf>
    <xf numFmtId="0" fontId="8" fillId="0" borderId="34" xfId="0" applyFont="1" applyFill="1" applyBorder="1" applyAlignment="1">
      <alignment horizontal="center" vertical="center" textRotation="90"/>
    </xf>
    <xf numFmtId="0" fontId="8" fillId="0" borderId="19" xfId="0" applyFont="1" applyFill="1" applyBorder="1" applyAlignment="1">
      <alignment horizontal="center" vertical="center" wrapText="1"/>
    </xf>
    <xf numFmtId="0" fontId="8" fillId="0" borderId="27" xfId="0" applyFont="1" applyFill="1" applyBorder="1" applyAlignment="1">
      <alignment horizontal="center" vertical="center" wrapText="1"/>
    </xf>
    <xf numFmtId="0" fontId="8" fillId="0" borderId="34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 wrapText="1"/>
    </xf>
    <xf numFmtId="0" fontId="8" fillId="0" borderId="27" xfId="0" applyFont="1" applyFill="1" applyBorder="1" applyAlignment="1">
      <alignment horizontal="center" vertical="center" textRotation="90" wrapText="1"/>
    </xf>
    <xf numFmtId="0" fontId="8" fillId="0" borderId="34" xfId="0" applyFont="1" applyFill="1" applyBorder="1" applyAlignment="1">
      <alignment horizontal="center" vertical="center" textRotation="90" wrapText="1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9" fillId="2" borderId="23" xfId="0" applyFont="1" applyFill="1" applyBorder="1" applyAlignment="1">
      <alignment horizontal="center" vertical="center"/>
    </xf>
    <xf numFmtId="0" fontId="8" fillId="0" borderId="27" xfId="0" applyFont="1" applyFill="1" applyBorder="1" applyAlignment="1">
      <alignment horizontal="center" vertical="center" textRotation="89" wrapText="1"/>
    </xf>
    <xf numFmtId="0" fontId="8" fillId="0" borderId="34" xfId="0" applyFont="1" applyFill="1" applyBorder="1" applyAlignment="1">
      <alignment horizontal="center" vertical="center" textRotation="89" wrapText="1"/>
    </xf>
    <xf numFmtId="0" fontId="8" fillId="0" borderId="21" xfId="0" applyFont="1" applyFill="1" applyBorder="1" applyAlignment="1">
      <alignment horizontal="center" vertical="center" wrapText="1"/>
    </xf>
    <xf numFmtId="0" fontId="8" fillId="0" borderId="22" xfId="0" applyFont="1" applyFill="1" applyBorder="1" applyAlignment="1">
      <alignment horizontal="center" vertical="center" wrapText="1"/>
    </xf>
    <xf numFmtId="0" fontId="8" fillId="0" borderId="2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2" fillId="0" borderId="19" xfId="0" applyFont="1" applyFill="1" applyBorder="1" applyAlignment="1">
      <alignment horizontal="center" wrapText="1"/>
    </xf>
    <xf numFmtId="0" fontId="2" fillId="0" borderId="27" xfId="0" applyFont="1" applyFill="1" applyBorder="1" applyAlignment="1">
      <alignment horizontal="center" wrapText="1"/>
    </xf>
    <xf numFmtId="0" fontId="2" fillId="0" borderId="34" xfId="0" applyFont="1" applyFill="1" applyBorder="1" applyAlignment="1">
      <alignment horizontal="center" wrapText="1"/>
    </xf>
    <xf numFmtId="0" fontId="12" fillId="0" borderId="57" xfId="0" applyFont="1" applyFill="1" applyBorder="1" applyAlignment="1">
      <alignment horizontal="center" vertical="center" wrapText="1"/>
    </xf>
    <xf numFmtId="0" fontId="12" fillId="0" borderId="51" xfId="0" applyFont="1" applyFill="1" applyBorder="1" applyAlignment="1">
      <alignment horizontal="center" vertical="center" wrapText="1"/>
    </xf>
    <xf numFmtId="0" fontId="12" fillId="0" borderId="58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3" xfId="1"/>
  </cellStyles>
  <dxfs count="60"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BN90"/>
  <sheetViews>
    <sheetView tabSelected="1" topLeftCell="A58" zoomScale="70" zoomScaleNormal="70" workbookViewId="0">
      <selection activeCell="A78" sqref="A78:AE78"/>
    </sheetView>
  </sheetViews>
  <sheetFormatPr defaultColWidth="9.140625" defaultRowHeight="18.75"/>
  <cols>
    <col min="1" max="1" width="5.7109375" style="2" customWidth="1"/>
    <col min="2" max="2" width="31" style="1" customWidth="1"/>
    <col min="3" max="6" width="7.7109375" style="2" customWidth="1"/>
    <col min="7" max="28" width="5.7109375" style="2" customWidth="1"/>
    <col min="29" max="29" width="5.7109375" style="14" customWidth="1"/>
    <col min="30" max="30" width="5.7109375" style="45" customWidth="1"/>
    <col min="31" max="31" width="24.42578125" style="2" customWidth="1"/>
    <col min="32" max="16384" width="9.140625" style="1"/>
  </cols>
  <sheetData>
    <row r="1" spans="1:41" ht="18.75" customHeight="1">
      <c r="A1" s="162" t="s">
        <v>16</v>
      </c>
      <c r="B1" s="162"/>
      <c r="C1" s="162"/>
      <c r="D1" s="162"/>
      <c r="E1" s="162"/>
      <c r="F1" s="162"/>
      <c r="G1" s="162"/>
      <c r="H1" s="162"/>
      <c r="I1" s="162"/>
      <c r="J1" s="162"/>
      <c r="K1" s="162"/>
      <c r="L1" s="162"/>
      <c r="M1" s="162"/>
      <c r="N1" s="162"/>
      <c r="O1" s="162"/>
      <c r="P1" s="162"/>
      <c r="Q1" s="162"/>
      <c r="R1" s="162"/>
      <c r="S1" s="162"/>
      <c r="T1" s="162"/>
      <c r="U1" s="162"/>
      <c r="V1" s="162"/>
      <c r="W1" s="162"/>
      <c r="X1" s="162"/>
      <c r="Y1" s="162"/>
      <c r="Z1" s="162"/>
      <c r="AA1" s="162"/>
      <c r="AB1" s="162"/>
      <c r="AC1" s="162"/>
      <c r="AD1" s="162"/>
      <c r="AE1" s="93"/>
    </row>
    <row r="2" spans="1:41">
      <c r="A2" s="163" t="s">
        <v>17</v>
      </c>
      <c r="B2" s="163"/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</row>
    <row r="3" spans="1:41" ht="18.75" customHeight="1">
      <c r="A3" s="187"/>
      <c r="B3" s="187"/>
      <c r="C3" s="187"/>
      <c r="H3" s="164" t="s">
        <v>25</v>
      </c>
      <c r="I3" s="164"/>
      <c r="J3" s="164"/>
      <c r="K3" s="164"/>
      <c r="L3" s="164"/>
      <c r="M3" s="164"/>
      <c r="N3" s="164"/>
      <c r="O3" s="164"/>
      <c r="P3" s="164"/>
      <c r="Q3" s="164"/>
      <c r="R3" s="164"/>
      <c r="S3" s="164"/>
      <c r="T3" s="164"/>
      <c r="U3" s="164"/>
      <c r="V3" s="164"/>
      <c r="W3" s="164"/>
      <c r="X3" s="164"/>
      <c r="Y3" s="164"/>
      <c r="Z3" s="164"/>
      <c r="AA3" s="164"/>
      <c r="AB3" s="164"/>
      <c r="AC3" s="164"/>
      <c r="AD3" s="164"/>
      <c r="AE3" s="164"/>
      <c r="AF3" s="164"/>
      <c r="AG3" s="164"/>
      <c r="AH3" s="164"/>
      <c r="AI3" s="164"/>
      <c r="AJ3" s="164"/>
      <c r="AK3" s="164"/>
    </row>
    <row r="4" spans="1:41" ht="19.5" thickBot="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13"/>
      <c r="AD4" s="44"/>
      <c r="AE4" s="3"/>
    </row>
    <row r="5" spans="1:41" ht="20.100000000000001" customHeight="1" thickBot="1">
      <c r="A5" s="170" t="s">
        <v>1</v>
      </c>
      <c r="B5" s="173" t="s">
        <v>0</v>
      </c>
      <c r="C5" s="165" t="s">
        <v>4</v>
      </c>
      <c r="D5" s="166"/>
      <c r="E5" s="166"/>
      <c r="F5" s="166"/>
      <c r="G5" s="158" t="s">
        <v>9</v>
      </c>
      <c r="H5" s="159"/>
      <c r="I5" s="179" t="s">
        <v>10</v>
      </c>
      <c r="J5" s="180"/>
      <c r="K5" s="180"/>
      <c r="L5" s="181"/>
      <c r="M5" s="52" t="s">
        <v>11</v>
      </c>
      <c r="N5" s="53"/>
      <c r="O5" s="53"/>
      <c r="P5" s="54"/>
      <c r="Q5" s="52" t="s">
        <v>12</v>
      </c>
      <c r="R5" s="53"/>
      <c r="S5" s="53"/>
      <c r="T5" s="53"/>
      <c r="U5" s="179" t="s">
        <v>13</v>
      </c>
      <c r="V5" s="159"/>
      <c r="W5" s="180"/>
      <c r="X5" s="180"/>
      <c r="Y5" s="54"/>
      <c r="Z5" s="179" t="s">
        <v>14</v>
      </c>
      <c r="AA5" s="180"/>
      <c r="AB5" s="180"/>
      <c r="AC5" s="180"/>
      <c r="AD5" s="61"/>
      <c r="AE5" s="173" t="s">
        <v>5</v>
      </c>
    </row>
    <row r="6" spans="1:41" ht="20.100000000000001" customHeight="1" thickBot="1">
      <c r="A6" s="171"/>
      <c r="B6" s="174"/>
      <c r="C6" s="167"/>
      <c r="D6" s="168"/>
      <c r="E6" s="168"/>
      <c r="F6" s="169"/>
      <c r="G6" s="16">
        <v>24</v>
      </c>
      <c r="H6" s="17">
        <v>31</v>
      </c>
      <c r="I6" s="18">
        <v>7</v>
      </c>
      <c r="J6" s="19">
        <v>14</v>
      </c>
      <c r="K6" s="20">
        <v>21</v>
      </c>
      <c r="L6" s="26">
        <v>28</v>
      </c>
      <c r="M6" s="22">
        <v>7</v>
      </c>
      <c r="N6" s="19">
        <v>14</v>
      </c>
      <c r="O6" s="18">
        <v>21</v>
      </c>
      <c r="P6" s="21">
        <v>28</v>
      </c>
      <c r="Q6" s="24">
        <v>4</v>
      </c>
      <c r="R6" s="18">
        <v>11</v>
      </c>
      <c r="S6" s="18">
        <v>18</v>
      </c>
      <c r="T6" s="21">
        <v>25</v>
      </c>
      <c r="U6" s="27">
        <v>2</v>
      </c>
      <c r="V6" s="57">
        <v>9</v>
      </c>
      <c r="W6" s="25">
        <v>16</v>
      </c>
      <c r="X6" s="24">
        <v>23</v>
      </c>
      <c r="Y6" s="21">
        <v>30</v>
      </c>
      <c r="Z6" s="58">
        <v>6</v>
      </c>
      <c r="AA6" s="60">
        <v>13</v>
      </c>
      <c r="AB6" s="19">
        <v>20</v>
      </c>
      <c r="AC6" s="21">
        <v>27</v>
      </c>
      <c r="AD6" s="27">
        <v>4</v>
      </c>
      <c r="AE6" s="174"/>
    </row>
    <row r="7" spans="1:41" ht="20.100000000000001" customHeight="1" thickBot="1">
      <c r="A7" s="171"/>
      <c r="B7" s="174"/>
      <c r="C7" s="176" t="s">
        <v>2</v>
      </c>
      <c r="D7" s="184" t="s">
        <v>3</v>
      </c>
      <c r="E7" s="185"/>
      <c r="F7" s="186"/>
      <c r="G7" s="46">
        <v>25</v>
      </c>
      <c r="H7" s="23">
        <v>1</v>
      </c>
      <c r="I7" s="30">
        <v>8</v>
      </c>
      <c r="J7" s="31">
        <v>15</v>
      </c>
      <c r="K7" s="29">
        <v>22</v>
      </c>
      <c r="L7" s="24">
        <v>1</v>
      </c>
      <c r="M7" s="51">
        <v>8</v>
      </c>
      <c r="N7" s="31">
        <v>15</v>
      </c>
      <c r="O7" s="30">
        <v>22</v>
      </c>
      <c r="P7" s="29">
        <v>29</v>
      </c>
      <c r="Q7" s="35">
        <v>5</v>
      </c>
      <c r="R7" s="18">
        <v>12</v>
      </c>
      <c r="S7" s="18">
        <v>19</v>
      </c>
      <c r="T7" s="36">
        <v>26</v>
      </c>
      <c r="U7" s="55">
        <v>3</v>
      </c>
      <c r="V7" s="34">
        <v>10</v>
      </c>
      <c r="W7" s="34">
        <v>17</v>
      </c>
      <c r="X7" s="35">
        <v>24</v>
      </c>
      <c r="Y7" s="33">
        <v>31</v>
      </c>
      <c r="Z7" s="30">
        <v>7</v>
      </c>
      <c r="AA7" s="19">
        <v>14</v>
      </c>
      <c r="AB7" s="19">
        <v>21</v>
      </c>
      <c r="AC7" s="29">
        <v>28</v>
      </c>
      <c r="AD7" s="32">
        <v>5</v>
      </c>
      <c r="AE7" s="174"/>
    </row>
    <row r="8" spans="1:41" ht="20.100000000000001" customHeight="1">
      <c r="A8" s="171"/>
      <c r="B8" s="174"/>
      <c r="C8" s="177"/>
      <c r="D8" s="182" t="s">
        <v>6</v>
      </c>
      <c r="E8" s="177" t="s">
        <v>7</v>
      </c>
      <c r="F8" s="177" t="s">
        <v>8</v>
      </c>
      <c r="G8" s="46">
        <v>26</v>
      </c>
      <c r="H8" s="28">
        <v>2</v>
      </c>
      <c r="I8" s="18">
        <v>9</v>
      </c>
      <c r="J8" s="19">
        <v>16</v>
      </c>
      <c r="K8" s="50">
        <v>23</v>
      </c>
      <c r="L8" s="18">
        <v>2</v>
      </c>
      <c r="M8" s="18">
        <v>9</v>
      </c>
      <c r="N8" s="19">
        <v>16</v>
      </c>
      <c r="O8" s="18">
        <v>23</v>
      </c>
      <c r="P8" s="29">
        <v>30</v>
      </c>
      <c r="Q8" s="35">
        <v>6</v>
      </c>
      <c r="R8" s="18">
        <v>13</v>
      </c>
      <c r="S8" s="18">
        <v>20</v>
      </c>
      <c r="T8" s="36">
        <v>27</v>
      </c>
      <c r="U8" s="32">
        <v>4</v>
      </c>
      <c r="V8" s="31">
        <v>11</v>
      </c>
      <c r="W8" s="31">
        <v>18</v>
      </c>
      <c r="X8" s="29">
        <v>25</v>
      </c>
      <c r="Y8" s="24">
        <v>1</v>
      </c>
      <c r="Z8" s="18">
        <v>8</v>
      </c>
      <c r="AA8" s="19">
        <v>15</v>
      </c>
      <c r="AB8" s="19">
        <v>22</v>
      </c>
      <c r="AC8" s="29">
        <v>29</v>
      </c>
      <c r="AD8" s="30">
        <v>6</v>
      </c>
      <c r="AE8" s="174"/>
    </row>
    <row r="9" spans="1:41" s="4" customFormat="1" ht="20.100000000000001" customHeight="1" thickBot="1">
      <c r="A9" s="171"/>
      <c r="B9" s="174"/>
      <c r="C9" s="177"/>
      <c r="D9" s="182"/>
      <c r="E9" s="177"/>
      <c r="F9" s="177"/>
      <c r="G9" s="46">
        <v>27</v>
      </c>
      <c r="H9" s="28">
        <v>3</v>
      </c>
      <c r="I9" s="30">
        <v>10</v>
      </c>
      <c r="J9" s="31">
        <v>17</v>
      </c>
      <c r="K9" s="29">
        <v>24</v>
      </c>
      <c r="L9" s="30">
        <v>3</v>
      </c>
      <c r="M9" s="30">
        <v>10</v>
      </c>
      <c r="N9" s="31">
        <v>17</v>
      </c>
      <c r="O9" s="30">
        <v>24</v>
      </c>
      <c r="P9" s="37">
        <v>31</v>
      </c>
      <c r="Q9" s="30">
        <v>7</v>
      </c>
      <c r="R9" s="18">
        <v>14</v>
      </c>
      <c r="S9" s="18">
        <v>21</v>
      </c>
      <c r="T9" s="36">
        <v>28</v>
      </c>
      <c r="U9" s="55">
        <v>5</v>
      </c>
      <c r="V9" s="31">
        <v>12</v>
      </c>
      <c r="W9" s="31">
        <v>19</v>
      </c>
      <c r="X9" s="29">
        <v>26</v>
      </c>
      <c r="Y9" s="30">
        <v>2</v>
      </c>
      <c r="Z9" s="18">
        <v>9</v>
      </c>
      <c r="AA9" s="19">
        <v>16</v>
      </c>
      <c r="AB9" s="19">
        <v>23</v>
      </c>
      <c r="AC9" s="33">
        <v>30</v>
      </c>
      <c r="AD9" s="46">
        <v>7</v>
      </c>
      <c r="AE9" s="169"/>
    </row>
    <row r="10" spans="1:41" s="4" customFormat="1" ht="20.100000000000001" customHeight="1">
      <c r="A10" s="171"/>
      <c r="B10" s="174"/>
      <c r="C10" s="177"/>
      <c r="D10" s="182"/>
      <c r="E10" s="177"/>
      <c r="F10" s="177"/>
      <c r="G10" s="47">
        <v>28</v>
      </c>
      <c r="H10" s="28">
        <v>4</v>
      </c>
      <c r="I10" s="18">
        <v>11</v>
      </c>
      <c r="J10" s="19">
        <v>18</v>
      </c>
      <c r="K10" s="36">
        <v>25</v>
      </c>
      <c r="L10" s="18">
        <v>4</v>
      </c>
      <c r="M10" s="18">
        <v>11</v>
      </c>
      <c r="N10" s="19">
        <v>18</v>
      </c>
      <c r="O10" s="29">
        <v>25</v>
      </c>
      <c r="P10" s="18">
        <v>1</v>
      </c>
      <c r="Q10" s="18">
        <v>8</v>
      </c>
      <c r="R10" s="18">
        <v>15</v>
      </c>
      <c r="S10" s="18">
        <v>22</v>
      </c>
      <c r="T10" s="36">
        <v>29</v>
      </c>
      <c r="U10" s="28">
        <v>6</v>
      </c>
      <c r="V10" s="31">
        <v>13</v>
      </c>
      <c r="W10" s="19">
        <v>20</v>
      </c>
      <c r="X10" s="36">
        <v>27</v>
      </c>
      <c r="Y10" s="18">
        <v>3</v>
      </c>
      <c r="Z10" s="18">
        <v>10</v>
      </c>
      <c r="AA10" s="19">
        <v>17</v>
      </c>
      <c r="AB10" s="29">
        <v>24</v>
      </c>
      <c r="AC10" s="24">
        <v>1</v>
      </c>
      <c r="AD10" s="32">
        <v>8</v>
      </c>
      <c r="AE10" s="174"/>
    </row>
    <row r="11" spans="1:41" s="4" customFormat="1" ht="20.100000000000001" customHeight="1" thickBot="1">
      <c r="A11" s="171"/>
      <c r="B11" s="174"/>
      <c r="C11" s="177"/>
      <c r="D11" s="182"/>
      <c r="E11" s="177"/>
      <c r="F11" s="177"/>
      <c r="G11" s="48">
        <v>29</v>
      </c>
      <c r="H11" s="38">
        <v>5</v>
      </c>
      <c r="I11" s="30">
        <v>12</v>
      </c>
      <c r="J11" s="31">
        <v>19</v>
      </c>
      <c r="K11" s="37">
        <v>26</v>
      </c>
      <c r="L11" s="40">
        <v>5</v>
      </c>
      <c r="M11" s="30">
        <v>12</v>
      </c>
      <c r="N11" s="31">
        <v>19</v>
      </c>
      <c r="O11" s="29">
        <v>26</v>
      </c>
      <c r="P11" s="40">
        <v>2</v>
      </c>
      <c r="Q11" s="40">
        <v>9</v>
      </c>
      <c r="R11" s="39">
        <v>16</v>
      </c>
      <c r="S11" s="40">
        <v>23</v>
      </c>
      <c r="T11" s="20">
        <v>30</v>
      </c>
      <c r="U11" s="56">
        <v>7</v>
      </c>
      <c r="V11" s="39">
        <v>14</v>
      </c>
      <c r="W11" s="39">
        <v>21</v>
      </c>
      <c r="X11" s="37">
        <v>28</v>
      </c>
      <c r="Y11" s="40">
        <v>4</v>
      </c>
      <c r="Z11" s="18">
        <v>11</v>
      </c>
      <c r="AA11" s="19">
        <v>18</v>
      </c>
      <c r="AB11" s="33">
        <v>25</v>
      </c>
      <c r="AC11" s="59">
        <v>2</v>
      </c>
      <c r="AD11" s="55">
        <v>9</v>
      </c>
      <c r="AE11" s="174"/>
    </row>
    <row r="12" spans="1:41" s="4" customFormat="1" ht="20.100000000000001" customHeight="1" thickBot="1">
      <c r="A12" s="172"/>
      <c r="B12" s="175"/>
      <c r="C12" s="178"/>
      <c r="D12" s="183"/>
      <c r="E12" s="178"/>
      <c r="F12" s="178"/>
      <c r="G12" s="49">
        <v>1</v>
      </c>
      <c r="H12" s="5">
        <v>2</v>
      </c>
      <c r="I12" s="7">
        <v>3</v>
      </c>
      <c r="J12" s="7">
        <v>4</v>
      </c>
      <c r="K12" s="8">
        <v>5</v>
      </c>
      <c r="L12" s="5">
        <v>6</v>
      </c>
      <c r="M12" s="7">
        <v>7</v>
      </c>
      <c r="N12" s="6">
        <v>8</v>
      </c>
      <c r="O12" s="10">
        <v>9</v>
      </c>
      <c r="P12" s="7">
        <v>10</v>
      </c>
      <c r="Q12" s="41">
        <v>11</v>
      </c>
      <c r="R12" s="7">
        <v>12</v>
      </c>
      <c r="S12" s="6">
        <v>13</v>
      </c>
      <c r="T12" s="8">
        <v>14</v>
      </c>
      <c r="U12" s="5">
        <v>15</v>
      </c>
      <c r="V12" s="41">
        <v>16</v>
      </c>
      <c r="W12" s="42">
        <v>17</v>
      </c>
      <c r="X12" s="43">
        <v>18</v>
      </c>
      <c r="Y12" s="15">
        <v>19</v>
      </c>
      <c r="Z12" s="15">
        <v>20</v>
      </c>
      <c r="AA12" s="6">
        <v>21</v>
      </c>
      <c r="AB12" s="10">
        <v>22</v>
      </c>
      <c r="AC12" s="9">
        <v>23</v>
      </c>
      <c r="AD12" s="6">
        <v>24</v>
      </c>
      <c r="AE12" s="175"/>
    </row>
    <row r="13" spans="1:41" s="4" customFormat="1" ht="35.25" customHeight="1">
      <c r="A13" s="95"/>
      <c r="B13" s="95"/>
      <c r="C13" s="94"/>
      <c r="D13" s="94"/>
      <c r="E13" s="94"/>
      <c r="F13" s="94"/>
      <c r="G13" s="94"/>
      <c r="H13" s="94"/>
      <c r="I13" s="94"/>
      <c r="J13" s="94"/>
      <c r="K13" s="94"/>
      <c r="L13" s="161" t="s">
        <v>26</v>
      </c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/>
      <c r="AF13" s="161"/>
      <c r="AG13" s="161"/>
      <c r="AH13" s="161"/>
      <c r="AI13" s="161"/>
      <c r="AJ13" s="161"/>
      <c r="AK13" s="161"/>
      <c r="AL13" s="161"/>
      <c r="AM13" s="161"/>
      <c r="AN13" s="161"/>
      <c r="AO13" s="161"/>
    </row>
    <row r="14" spans="1:41" s="4" customFormat="1" ht="57" customHeight="1" thickBot="1">
      <c r="A14" s="160" t="s">
        <v>18</v>
      </c>
      <c r="B14" s="160"/>
      <c r="C14" s="160"/>
      <c r="D14" s="160"/>
      <c r="E14" s="160"/>
      <c r="F14" s="160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160"/>
      <c r="AA14" s="160"/>
      <c r="AB14" s="160"/>
      <c r="AC14" s="160"/>
      <c r="AD14" s="160"/>
      <c r="AE14" s="160"/>
      <c r="AF14" s="93"/>
      <c r="AG14" s="93"/>
      <c r="AH14" s="93"/>
      <c r="AI14" s="93"/>
      <c r="AJ14" s="93"/>
      <c r="AK14" s="93"/>
      <c r="AL14" s="93"/>
      <c r="AM14" s="93"/>
      <c r="AN14" s="93"/>
      <c r="AO14" s="93"/>
    </row>
    <row r="15" spans="1:41" s="4" customFormat="1" ht="34.5" customHeight="1" thickBot="1">
      <c r="A15" s="143" t="s">
        <v>38</v>
      </c>
      <c r="B15" s="143"/>
      <c r="C15" s="143"/>
      <c r="D15" s="143"/>
      <c r="E15" s="143"/>
      <c r="F15" s="143"/>
      <c r="G15" s="143"/>
      <c r="H15" s="143"/>
      <c r="I15" s="143"/>
      <c r="J15" s="143"/>
      <c r="K15" s="144"/>
      <c r="L15" s="144"/>
      <c r="M15" s="144"/>
      <c r="N15" s="144"/>
      <c r="O15" s="144"/>
      <c r="P15" s="144"/>
      <c r="Q15" s="144"/>
      <c r="R15" s="143"/>
      <c r="S15" s="143"/>
      <c r="T15" s="143"/>
      <c r="U15" s="143"/>
      <c r="V15" s="143"/>
      <c r="W15" s="143"/>
      <c r="X15" s="143"/>
      <c r="Y15" s="143"/>
      <c r="Z15" s="143"/>
      <c r="AA15" s="143"/>
      <c r="AB15" s="143"/>
      <c r="AC15" s="143"/>
      <c r="AD15" s="143"/>
      <c r="AE15" s="143"/>
    </row>
    <row r="16" spans="1:41" ht="37.5">
      <c r="A16" s="82">
        <v>10</v>
      </c>
      <c r="B16" s="83" t="s">
        <v>28</v>
      </c>
      <c r="C16" s="64">
        <f t="shared" ref="C16" si="0">SUM(D16:F18)</f>
        <v>54</v>
      </c>
      <c r="D16" s="65">
        <f t="shared" ref="D16" si="1">SUM(G16:AD16)</f>
        <v>36</v>
      </c>
      <c r="E16" s="65"/>
      <c r="F16" s="66"/>
      <c r="G16" s="67">
        <v>2</v>
      </c>
      <c r="H16" s="67">
        <v>2</v>
      </c>
      <c r="I16" s="67">
        <v>2</v>
      </c>
      <c r="J16" s="67">
        <v>2</v>
      </c>
      <c r="K16" s="67">
        <v>2</v>
      </c>
      <c r="L16" s="67">
        <v>2</v>
      </c>
      <c r="M16" s="67">
        <v>2</v>
      </c>
      <c r="N16" s="67">
        <v>2</v>
      </c>
      <c r="O16" s="67">
        <v>2</v>
      </c>
      <c r="P16" s="67">
        <v>2</v>
      </c>
      <c r="Q16" s="67">
        <v>2</v>
      </c>
      <c r="R16" s="67">
        <v>2</v>
      </c>
      <c r="S16" s="67">
        <v>2</v>
      </c>
      <c r="T16" s="67">
        <v>2</v>
      </c>
      <c r="U16" s="67">
        <v>2</v>
      </c>
      <c r="V16" s="67">
        <v>2</v>
      </c>
      <c r="W16" s="67">
        <v>2</v>
      </c>
      <c r="X16" s="67">
        <v>2</v>
      </c>
      <c r="Y16" s="65"/>
      <c r="Z16" s="65"/>
      <c r="AA16" s="65"/>
      <c r="AB16" s="65"/>
      <c r="AC16" s="65"/>
      <c r="AD16" s="65"/>
      <c r="AE16" s="66" t="s">
        <v>15</v>
      </c>
    </row>
    <row r="17" spans="1:31">
      <c r="A17" s="84"/>
      <c r="B17" s="85"/>
      <c r="C17" s="71"/>
      <c r="D17" s="72"/>
      <c r="E17" s="72">
        <f t="shared" ref="E17" si="2">SUM(G17:AD17)</f>
        <v>14</v>
      </c>
      <c r="F17" s="73"/>
      <c r="G17" s="103"/>
      <c r="H17" s="72">
        <v>2</v>
      </c>
      <c r="I17" s="71"/>
      <c r="J17" s="72">
        <v>2</v>
      </c>
      <c r="K17" s="71"/>
      <c r="L17" s="72">
        <v>2</v>
      </c>
      <c r="M17" s="72"/>
      <c r="N17" s="72">
        <v>2</v>
      </c>
      <c r="O17" s="72"/>
      <c r="P17" s="72">
        <v>2</v>
      </c>
      <c r="Q17" s="71"/>
      <c r="R17" s="71">
        <v>2</v>
      </c>
      <c r="S17" s="72"/>
      <c r="T17" s="72">
        <v>2</v>
      </c>
      <c r="U17" s="72"/>
      <c r="V17" s="72"/>
      <c r="W17" s="72"/>
      <c r="X17" s="72"/>
      <c r="Y17" s="72"/>
      <c r="Z17" s="72"/>
      <c r="AA17" s="72"/>
      <c r="AB17" s="72"/>
      <c r="AC17" s="72"/>
      <c r="AD17" s="72"/>
      <c r="AE17" s="76" t="s">
        <v>35</v>
      </c>
    </row>
    <row r="18" spans="1:31" ht="19.5" thickBot="1">
      <c r="A18" s="88"/>
      <c r="B18" s="89"/>
      <c r="C18" s="79"/>
      <c r="D18" s="80"/>
      <c r="E18" s="80"/>
      <c r="F18" s="81">
        <f t="shared" ref="F18" si="3">SUM(G18:AD18)</f>
        <v>4</v>
      </c>
      <c r="G18" s="86"/>
      <c r="H18" s="87"/>
      <c r="I18" s="86"/>
      <c r="J18" s="79"/>
      <c r="K18" s="86"/>
      <c r="L18" s="87"/>
      <c r="M18" s="87"/>
      <c r="N18" s="87"/>
      <c r="O18" s="87"/>
      <c r="P18" s="87"/>
      <c r="Q18" s="86"/>
      <c r="R18" s="86"/>
      <c r="S18" s="87"/>
      <c r="T18" s="87"/>
      <c r="U18" s="87"/>
      <c r="V18" s="87">
        <v>2</v>
      </c>
      <c r="W18" s="87"/>
      <c r="X18" s="87">
        <v>2</v>
      </c>
      <c r="Y18" s="87"/>
      <c r="Z18" s="87"/>
      <c r="AA18" s="87"/>
      <c r="AB18" s="87"/>
      <c r="AC18" s="87"/>
      <c r="AD18" s="87"/>
      <c r="AE18" s="81">
        <v>9</v>
      </c>
    </row>
    <row r="19" spans="1:31" ht="37.5">
      <c r="A19" s="82">
        <v>10</v>
      </c>
      <c r="B19" s="83" t="s">
        <v>36</v>
      </c>
      <c r="C19" s="64">
        <f t="shared" ref="C19" si="4">SUM(D19:F21)</f>
        <v>36</v>
      </c>
      <c r="D19" s="65">
        <f t="shared" ref="D19" si="5">SUM(G19:AD19)</f>
        <v>18</v>
      </c>
      <c r="E19" s="65"/>
      <c r="F19" s="66"/>
      <c r="G19" s="67">
        <v>2</v>
      </c>
      <c r="H19" s="68"/>
      <c r="I19" s="68">
        <v>2</v>
      </c>
      <c r="J19" s="67"/>
      <c r="K19" s="64">
        <v>2</v>
      </c>
      <c r="L19" s="65"/>
      <c r="M19" s="65">
        <v>2</v>
      </c>
      <c r="N19" s="65"/>
      <c r="O19" s="65">
        <v>2</v>
      </c>
      <c r="P19" s="105"/>
      <c r="Q19" s="72">
        <v>2</v>
      </c>
      <c r="R19" s="64"/>
      <c r="S19" s="65">
        <v>2</v>
      </c>
      <c r="T19" s="65"/>
      <c r="U19" s="65">
        <v>2</v>
      </c>
      <c r="V19" s="65"/>
      <c r="W19" s="65">
        <v>2</v>
      </c>
      <c r="X19" s="65"/>
      <c r="Y19" s="65"/>
      <c r="Z19" s="65"/>
      <c r="AA19" s="65"/>
      <c r="AB19" s="65"/>
      <c r="AC19" s="65"/>
      <c r="AD19" s="65"/>
      <c r="AE19" s="66" t="s">
        <v>15</v>
      </c>
    </row>
    <row r="20" spans="1:31" ht="19.5">
      <c r="A20" s="84"/>
      <c r="B20" s="104" t="s">
        <v>37</v>
      </c>
      <c r="C20" s="71"/>
      <c r="D20" s="72"/>
      <c r="E20" s="72">
        <f t="shared" ref="E20" si="6">SUM(G20:AD20)</f>
        <v>18</v>
      </c>
      <c r="F20" s="73"/>
      <c r="G20" s="71"/>
      <c r="H20" s="72">
        <v>2</v>
      </c>
      <c r="I20" s="72"/>
      <c r="J20" s="71">
        <v>2</v>
      </c>
      <c r="K20" s="74"/>
      <c r="L20" s="75">
        <v>2</v>
      </c>
      <c r="M20" s="75"/>
      <c r="N20" s="75">
        <v>2</v>
      </c>
      <c r="O20" s="75"/>
      <c r="P20" s="106">
        <v>2</v>
      </c>
      <c r="Q20" s="72"/>
      <c r="R20" s="71">
        <v>2</v>
      </c>
      <c r="S20" s="72"/>
      <c r="T20" s="72">
        <v>2</v>
      </c>
      <c r="U20" s="72"/>
      <c r="V20" s="72">
        <v>2</v>
      </c>
      <c r="W20" s="72"/>
      <c r="X20" s="72">
        <v>2</v>
      </c>
      <c r="Y20" s="72"/>
      <c r="Z20" s="72"/>
      <c r="AA20" s="72"/>
      <c r="AB20" s="72"/>
      <c r="AC20" s="72"/>
      <c r="AD20" s="72"/>
      <c r="AE20" s="76"/>
    </row>
    <row r="21" spans="1:31" ht="19.5" thickBot="1">
      <c r="A21" s="88"/>
      <c r="B21" s="89"/>
      <c r="C21" s="79"/>
      <c r="D21" s="80"/>
      <c r="E21" s="80"/>
      <c r="F21" s="81">
        <f t="shared" ref="F21" si="7">SUM(G21:AD21)</f>
        <v>0</v>
      </c>
      <c r="G21" s="79"/>
      <c r="H21" s="80"/>
      <c r="I21" s="80"/>
      <c r="J21" s="79"/>
      <c r="K21" s="79"/>
      <c r="L21" s="80"/>
      <c r="M21" s="80"/>
      <c r="N21" s="80"/>
      <c r="O21" s="80"/>
      <c r="P21" s="107"/>
      <c r="Q21" s="80"/>
      <c r="R21" s="79"/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1">
        <v>9</v>
      </c>
    </row>
    <row r="22" spans="1:31" s="4" customFormat="1" ht="24" customHeight="1" thickBot="1">
      <c r="A22" s="145" t="s">
        <v>34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</row>
    <row r="23" spans="1:31" ht="37.5">
      <c r="A23" s="82">
        <v>10</v>
      </c>
      <c r="B23" s="83" t="s">
        <v>28</v>
      </c>
      <c r="C23" s="64">
        <f t="shared" ref="C23" si="8">SUM(D23:F25)</f>
        <v>72</v>
      </c>
      <c r="D23" s="65">
        <f t="shared" ref="D23" si="9">SUM(G23:AD23)</f>
        <v>36</v>
      </c>
      <c r="E23" s="65"/>
      <c r="F23" s="66"/>
      <c r="G23" s="67">
        <v>2</v>
      </c>
      <c r="H23" s="67">
        <v>2</v>
      </c>
      <c r="I23" s="67">
        <v>2</v>
      </c>
      <c r="J23" s="67">
        <v>2</v>
      </c>
      <c r="K23" s="67">
        <v>2</v>
      </c>
      <c r="L23" s="67">
        <v>2</v>
      </c>
      <c r="M23" s="67">
        <v>2</v>
      </c>
      <c r="N23" s="67">
        <v>2</v>
      </c>
      <c r="O23" s="67">
        <v>2</v>
      </c>
      <c r="P23" s="67">
        <v>2</v>
      </c>
      <c r="Q23" s="67">
        <v>2</v>
      </c>
      <c r="R23" s="67">
        <v>2</v>
      </c>
      <c r="S23" s="67">
        <v>2</v>
      </c>
      <c r="T23" s="67">
        <v>2</v>
      </c>
      <c r="U23" s="67">
        <v>2</v>
      </c>
      <c r="V23" s="67">
        <v>2</v>
      </c>
      <c r="W23" s="67">
        <v>2</v>
      </c>
      <c r="X23" s="67">
        <v>2</v>
      </c>
      <c r="Y23" s="65"/>
      <c r="Z23" s="65"/>
      <c r="AA23" s="65"/>
      <c r="AB23" s="65"/>
      <c r="AC23" s="65"/>
      <c r="AD23" s="65"/>
      <c r="AE23" s="66" t="s">
        <v>15</v>
      </c>
    </row>
    <row r="24" spans="1:31">
      <c r="A24" s="84"/>
      <c r="B24" s="85"/>
      <c r="C24" s="71"/>
      <c r="D24" s="72"/>
      <c r="E24" s="72">
        <f t="shared" ref="E24" si="10">SUM(G24:AD24)</f>
        <v>18</v>
      </c>
      <c r="F24" s="73"/>
      <c r="G24" s="103">
        <v>2</v>
      </c>
      <c r="H24" s="103">
        <v>2</v>
      </c>
      <c r="I24" s="103">
        <v>2</v>
      </c>
      <c r="J24" s="103">
        <v>2</v>
      </c>
      <c r="K24" s="103">
        <v>2</v>
      </c>
      <c r="L24" s="103">
        <v>2</v>
      </c>
      <c r="M24" s="103">
        <v>2</v>
      </c>
      <c r="N24" s="103">
        <v>2</v>
      </c>
      <c r="O24" s="103">
        <v>2</v>
      </c>
      <c r="P24" s="72"/>
      <c r="Q24" s="71"/>
      <c r="R24" s="71"/>
      <c r="S24" s="72"/>
      <c r="T24" s="72"/>
      <c r="U24" s="72"/>
      <c r="V24" s="72"/>
      <c r="W24" s="72"/>
      <c r="X24" s="72"/>
      <c r="Y24" s="72"/>
      <c r="Z24" s="72"/>
      <c r="AA24" s="72"/>
      <c r="AB24" s="72"/>
      <c r="AC24" s="72"/>
      <c r="AD24" s="72"/>
      <c r="AE24" s="76" t="s">
        <v>35</v>
      </c>
    </row>
    <row r="25" spans="1:31" ht="19.5" thickBot="1">
      <c r="A25" s="88"/>
      <c r="B25" s="89"/>
      <c r="C25" s="79"/>
      <c r="D25" s="80"/>
      <c r="E25" s="80"/>
      <c r="F25" s="81">
        <f t="shared" ref="F25" si="11">SUM(G25:AD25)</f>
        <v>18</v>
      </c>
      <c r="G25" s="86"/>
      <c r="H25" s="87"/>
      <c r="I25" s="86"/>
      <c r="J25" s="87"/>
      <c r="K25" s="86"/>
      <c r="L25" s="87"/>
      <c r="M25" s="87"/>
      <c r="N25" s="87"/>
      <c r="O25" s="87"/>
      <c r="P25" s="87">
        <v>2</v>
      </c>
      <c r="Q25" s="87">
        <v>2</v>
      </c>
      <c r="R25" s="87">
        <v>2</v>
      </c>
      <c r="S25" s="87">
        <v>2</v>
      </c>
      <c r="T25" s="87">
        <v>2</v>
      </c>
      <c r="U25" s="87">
        <v>2</v>
      </c>
      <c r="V25" s="87">
        <v>2</v>
      </c>
      <c r="W25" s="87">
        <v>2</v>
      </c>
      <c r="X25" s="87">
        <v>2</v>
      </c>
      <c r="Y25" s="87"/>
      <c r="Z25" s="87"/>
      <c r="AA25" s="87"/>
      <c r="AB25" s="87"/>
      <c r="AC25" s="87"/>
      <c r="AD25" s="87"/>
      <c r="AE25" s="81">
        <v>9</v>
      </c>
    </row>
    <row r="26" spans="1:31" ht="37.5">
      <c r="A26" s="82">
        <v>10</v>
      </c>
      <c r="B26" s="83" t="s">
        <v>36</v>
      </c>
      <c r="C26" s="64">
        <f t="shared" ref="C26" si="12">SUM(D26:F28)</f>
        <v>36</v>
      </c>
      <c r="D26" s="65">
        <f t="shared" ref="D26" si="13">SUM(G26:AD26)</f>
        <v>18</v>
      </c>
      <c r="E26" s="65"/>
      <c r="F26" s="66"/>
      <c r="G26" s="67">
        <v>2</v>
      </c>
      <c r="H26" s="68"/>
      <c r="I26" s="68">
        <v>2</v>
      </c>
      <c r="J26" s="67"/>
      <c r="K26" s="64">
        <v>2</v>
      </c>
      <c r="L26" s="65"/>
      <c r="M26" s="65">
        <v>2</v>
      </c>
      <c r="N26" s="65"/>
      <c r="O26" s="65">
        <v>2</v>
      </c>
      <c r="P26" s="65"/>
      <c r="Q26" s="64">
        <v>2</v>
      </c>
      <c r="R26" s="64"/>
      <c r="S26" s="65">
        <v>2</v>
      </c>
      <c r="T26" s="65"/>
      <c r="U26" s="65">
        <v>2</v>
      </c>
      <c r="V26" s="65"/>
      <c r="W26" s="65">
        <v>2</v>
      </c>
      <c r="X26" s="65"/>
      <c r="Y26" s="65"/>
      <c r="Z26" s="65"/>
      <c r="AA26" s="65"/>
      <c r="AB26" s="65"/>
      <c r="AC26" s="65"/>
      <c r="AD26" s="65"/>
      <c r="AE26" s="66" t="s">
        <v>15</v>
      </c>
    </row>
    <row r="27" spans="1:31" ht="19.5">
      <c r="A27" s="84"/>
      <c r="B27" s="104" t="s">
        <v>37</v>
      </c>
      <c r="C27" s="71"/>
      <c r="D27" s="72"/>
      <c r="E27" s="72">
        <f t="shared" ref="E27" si="14">SUM(G27:AD27)</f>
        <v>18</v>
      </c>
      <c r="F27" s="73"/>
      <c r="G27" s="71"/>
      <c r="H27" s="72">
        <v>2</v>
      </c>
      <c r="I27" s="72"/>
      <c r="J27" s="71">
        <v>2</v>
      </c>
      <c r="K27" s="74"/>
      <c r="L27" s="75">
        <v>2</v>
      </c>
      <c r="M27" s="75"/>
      <c r="N27" s="75">
        <v>2</v>
      </c>
      <c r="O27" s="75"/>
      <c r="P27" s="75">
        <v>2</v>
      </c>
      <c r="Q27" s="71"/>
      <c r="R27" s="71">
        <v>2</v>
      </c>
      <c r="S27" s="72"/>
      <c r="T27" s="72">
        <v>2</v>
      </c>
      <c r="U27" s="72"/>
      <c r="V27" s="72">
        <v>2</v>
      </c>
      <c r="W27" s="72"/>
      <c r="X27" s="72">
        <v>2</v>
      </c>
      <c r="Y27" s="72"/>
      <c r="Z27" s="72"/>
      <c r="AA27" s="72"/>
      <c r="AB27" s="72"/>
      <c r="AC27" s="72"/>
      <c r="AD27" s="72"/>
      <c r="AE27" s="76"/>
    </row>
    <row r="28" spans="1:31" ht="19.5" thickBot="1">
      <c r="A28" s="88"/>
      <c r="B28" s="89"/>
      <c r="C28" s="79"/>
      <c r="D28" s="80"/>
      <c r="E28" s="80"/>
      <c r="F28" s="81">
        <f t="shared" ref="F28" si="15">SUM(G28:AD28)</f>
        <v>0</v>
      </c>
      <c r="G28" s="79"/>
      <c r="H28" s="80"/>
      <c r="I28" s="80"/>
      <c r="J28" s="79"/>
      <c r="K28" s="79"/>
      <c r="L28" s="80"/>
      <c r="M28" s="80"/>
      <c r="N28" s="80"/>
      <c r="O28" s="80"/>
      <c r="P28" s="80"/>
      <c r="Q28" s="79"/>
      <c r="R28" s="79"/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1">
        <v>9</v>
      </c>
    </row>
    <row r="29" spans="1:31" ht="19.5" thickBot="1">
      <c r="A29" s="145" t="s">
        <v>48</v>
      </c>
      <c r="B29" s="145"/>
      <c r="C29" s="145"/>
      <c r="D29" s="145"/>
      <c r="E29" s="145"/>
      <c r="F29" s="145"/>
      <c r="G29" s="145"/>
      <c r="H29" s="145"/>
      <c r="I29" s="145"/>
      <c r="J29" s="145"/>
      <c r="K29" s="145"/>
      <c r="L29" s="145"/>
      <c r="M29" s="145"/>
      <c r="N29" s="145"/>
      <c r="O29" s="145"/>
      <c r="P29" s="145"/>
      <c r="Q29" s="145"/>
      <c r="R29" s="145"/>
      <c r="S29" s="145"/>
      <c r="T29" s="145"/>
      <c r="U29" s="145"/>
      <c r="V29" s="145"/>
      <c r="W29" s="145"/>
      <c r="X29" s="145"/>
      <c r="Y29" s="145"/>
      <c r="Z29" s="145"/>
      <c r="AA29" s="145"/>
      <c r="AB29" s="145"/>
      <c r="AC29" s="145"/>
      <c r="AD29" s="145"/>
      <c r="AE29" s="145"/>
    </row>
    <row r="30" spans="1:31" ht="37.5">
      <c r="A30" s="82">
        <v>10</v>
      </c>
      <c r="B30" s="83" t="s">
        <v>28</v>
      </c>
      <c r="C30" s="64">
        <f t="shared" ref="C30" si="16">SUM(D30:F32)</f>
        <v>54</v>
      </c>
      <c r="D30" s="65">
        <f t="shared" ref="D30" si="17">SUM(G30:AD30)</f>
        <v>18</v>
      </c>
      <c r="E30" s="65"/>
      <c r="F30" s="66"/>
      <c r="G30" s="67">
        <v>2</v>
      </c>
      <c r="H30" s="68"/>
      <c r="I30" s="68">
        <v>2</v>
      </c>
      <c r="J30" s="67"/>
      <c r="K30" s="64">
        <v>2</v>
      </c>
      <c r="L30" s="65"/>
      <c r="M30" s="65">
        <v>2</v>
      </c>
      <c r="N30" s="65"/>
      <c r="O30" s="65">
        <v>2</v>
      </c>
      <c r="P30" s="65"/>
      <c r="Q30" s="64">
        <v>2</v>
      </c>
      <c r="R30" s="64"/>
      <c r="S30" s="65">
        <v>2</v>
      </c>
      <c r="T30" s="65"/>
      <c r="U30" s="65">
        <v>2</v>
      </c>
      <c r="V30" s="65"/>
      <c r="W30" s="65">
        <v>2</v>
      </c>
      <c r="X30" s="65"/>
      <c r="Y30" s="65"/>
      <c r="Z30" s="65"/>
      <c r="AA30" s="65"/>
      <c r="AB30" s="65"/>
      <c r="AC30" s="65"/>
      <c r="AD30" s="65"/>
      <c r="AE30" s="66" t="s">
        <v>32</v>
      </c>
    </row>
    <row r="31" spans="1:31">
      <c r="A31" s="84"/>
      <c r="B31" s="85"/>
      <c r="C31" s="71"/>
      <c r="D31" s="72"/>
      <c r="E31" s="72">
        <f t="shared" ref="E31" si="18">SUM(G31:AD31)</f>
        <v>20</v>
      </c>
      <c r="F31" s="73"/>
      <c r="G31" s="103">
        <v>2</v>
      </c>
      <c r="H31" s="103">
        <v>2</v>
      </c>
      <c r="I31" s="103">
        <v>2</v>
      </c>
      <c r="J31" s="103">
        <v>2</v>
      </c>
      <c r="K31" s="103">
        <v>2</v>
      </c>
      <c r="L31" s="103">
        <v>2</v>
      </c>
      <c r="M31" s="103">
        <v>2</v>
      </c>
      <c r="N31" s="103">
        <v>2</v>
      </c>
      <c r="O31" s="103">
        <v>2</v>
      </c>
      <c r="P31" s="103">
        <v>2</v>
      </c>
      <c r="Q31" s="71"/>
      <c r="R31" s="71"/>
      <c r="S31" s="72"/>
      <c r="T31" s="72"/>
      <c r="U31" s="72"/>
      <c r="V31" s="72"/>
      <c r="W31" s="72"/>
      <c r="X31" s="72"/>
      <c r="Y31" s="72"/>
      <c r="Z31" s="72"/>
      <c r="AA31" s="72"/>
      <c r="AB31" s="72"/>
      <c r="AC31" s="72"/>
      <c r="AD31" s="72"/>
      <c r="AE31" s="76"/>
    </row>
    <row r="32" spans="1:31" ht="19.5" thickBot="1">
      <c r="A32" s="88"/>
      <c r="B32" s="89"/>
      <c r="C32" s="79"/>
      <c r="D32" s="80"/>
      <c r="E32" s="80"/>
      <c r="F32" s="81">
        <f t="shared" ref="F32" si="19">SUM(G32:AD32)</f>
        <v>16</v>
      </c>
      <c r="G32" s="86"/>
      <c r="H32" s="87"/>
      <c r="I32" s="86"/>
      <c r="J32" s="79"/>
      <c r="K32" s="86"/>
      <c r="L32" s="87"/>
      <c r="M32" s="87"/>
      <c r="N32" s="87"/>
      <c r="O32" s="87"/>
      <c r="P32" s="87"/>
      <c r="Q32" s="86">
        <v>2</v>
      </c>
      <c r="R32" s="86">
        <v>2</v>
      </c>
      <c r="S32" s="86">
        <v>2</v>
      </c>
      <c r="T32" s="86">
        <v>2</v>
      </c>
      <c r="U32" s="86">
        <v>2</v>
      </c>
      <c r="V32" s="86">
        <v>2</v>
      </c>
      <c r="W32" s="86">
        <v>2</v>
      </c>
      <c r="X32" s="86">
        <v>2</v>
      </c>
      <c r="Y32" s="87"/>
      <c r="Z32" s="87"/>
      <c r="AA32" s="87"/>
      <c r="AB32" s="87"/>
      <c r="AC32" s="87"/>
      <c r="AD32" s="87"/>
      <c r="AE32" s="81">
        <v>36</v>
      </c>
    </row>
    <row r="33" spans="1:66" ht="75">
      <c r="A33" s="82">
        <v>10</v>
      </c>
      <c r="B33" s="83" t="s">
        <v>46</v>
      </c>
      <c r="C33" s="64">
        <f t="shared" ref="C33" si="20">SUM(D33:F35)</f>
        <v>36</v>
      </c>
      <c r="D33" s="65">
        <f t="shared" ref="D33" si="21">SUM(G33:AD33)</f>
        <v>18</v>
      </c>
      <c r="E33" s="65"/>
      <c r="F33" s="66"/>
      <c r="G33" s="67">
        <v>2</v>
      </c>
      <c r="H33" s="68"/>
      <c r="I33" s="68">
        <v>2</v>
      </c>
      <c r="J33" s="67"/>
      <c r="K33" s="64">
        <v>2</v>
      </c>
      <c r="L33" s="65"/>
      <c r="M33" s="65">
        <v>2</v>
      </c>
      <c r="N33" s="65"/>
      <c r="O33" s="65">
        <v>2</v>
      </c>
      <c r="P33" s="65"/>
      <c r="Q33" s="64">
        <v>2</v>
      </c>
      <c r="R33" s="64"/>
      <c r="S33" s="65">
        <v>2</v>
      </c>
      <c r="T33" s="65"/>
      <c r="U33" s="65">
        <v>2</v>
      </c>
      <c r="V33" s="65"/>
      <c r="W33" s="65">
        <v>2</v>
      </c>
      <c r="X33" s="65"/>
      <c r="Y33" s="65"/>
      <c r="Z33" s="65"/>
      <c r="AA33" s="65"/>
      <c r="AB33" s="65"/>
      <c r="AC33" s="65"/>
      <c r="AD33" s="65"/>
      <c r="AE33" s="66" t="s">
        <v>47</v>
      </c>
    </row>
    <row r="34" spans="1:66" ht="19.5">
      <c r="A34" s="84"/>
      <c r="B34" s="104" t="s">
        <v>37</v>
      </c>
      <c r="C34" s="71"/>
      <c r="D34" s="72"/>
      <c r="E34" s="72">
        <f t="shared" ref="E34" si="22">SUM(G34:AD34)</f>
        <v>18</v>
      </c>
      <c r="F34" s="73"/>
      <c r="G34" s="71"/>
      <c r="H34" s="72">
        <v>2</v>
      </c>
      <c r="I34" s="72"/>
      <c r="J34" s="71">
        <v>2</v>
      </c>
      <c r="K34" s="74"/>
      <c r="L34" s="75">
        <v>2</v>
      </c>
      <c r="M34" s="75"/>
      <c r="N34" s="75">
        <v>2</v>
      </c>
      <c r="O34" s="75"/>
      <c r="P34" s="75">
        <v>2</v>
      </c>
      <c r="Q34" s="71"/>
      <c r="R34" s="71">
        <v>2</v>
      </c>
      <c r="S34" s="72"/>
      <c r="T34" s="72">
        <v>2</v>
      </c>
      <c r="U34" s="72"/>
      <c r="V34" s="72">
        <v>2</v>
      </c>
      <c r="W34" s="72"/>
      <c r="X34" s="72">
        <v>2</v>
      </c>
      <c r="Y34" s="72"/>
      <c r="Z34" s="72"/>
      <c r="AA34" s="72"/>
      <c r="AB34" s="72"/>
      <c r="AC34" s="72"/>
      <c r="AD34" s="72"/>
      <c r="AE34" s="76"/>
    </row>
    <row r="35" spans="1:66" ht="19.5" thickBot="1">
      <c r="A35" s="88"/>
      <c r="B35" s="89"/>
      <c r="C35" s="79"/>
      <c r="D35" s="80"/>
      <c r="E35" s="80"/>
      <c r="F35" s="81">
        <f t="shared" ref="F35" si="23">SUM(G35:AD35)</f>
        <v>0</v>
      </c>
      <c r="G35" s="79"/>
      <c r="H35" s="80"/>
      <c r="I35" s="80"/>
      <c r="J35" s="79"/>
      <c r="K35" s="79"/>
      <c r="L35" s="80"/>
      <c r="M35" s="80"/>
      <c r="N35" s="80"/>
      <c r="O35" s="80"/>
      <c r="P35" s="80"/>
      <c r="Q35" s="79"/>
      <c r="R35" s="79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1">
        <v>9</v>
      </c>
    </row>
    <row r="36" spans="1:66" ht="19.5" thickBot="1">
      <c r="A36" s="145" t="s">
        <v>45</v>
      </c>
      <c r="B36" s="145"/>
      <c r="C36" s="145"/>
      <c r="D36" s="145"/>
      <c r="E36" s="145"/>
      <c r="F36" s="145"/>
      <c r="G36" s="145"/>
      <c r="H36" s="145"/>
      <c r="I36" s="145"/>
      <c r="J36" s="145"/>
      <c r="K36" s="145"/>
      <c r="L36" s="145"/>
      <c r="M36" s="145"/>
      <c r="N36" s="145"/>
      <c r="O36" s="145"/>
      <c r="P36" s="145"/>
      <c r="Q36" s="145"/>
      <c r="R36" s="145"/>
      <c r="S36" s="145"/>
      <c r="T36" s="145"/>
      <c r="U36" s="145"/>
      <c r="V36" s="145"/>
      <c r="W36" s="145"/>
      <c r="X36" s="145"/>
      <c r="Y36" s="145"/>
      <c r="Z36" s="145"/>
      <c r="AA36" s="145"/>
      <c r="AB36" s="145"/>
      <c r="AC36" s="145"/>
      <c r="AD36" s="145"/>
      <c r="AE36" s="145"/>
    </row>
    <row r="37" spans="1:66" ht="37.5">
      <c r="A37" s="82">
        <v>10</v>
      </c>
      <c r="B37" s="83" t="s">
        <v>28</v>
      </c>
      <c r="C37" s="64">
        <f t="shared" ref="C37" si="24">SUM(D37:F39)</f>
        <v>54</v>
      </c>
      <c r="D37" s="65">
        <f t="shared" ref="D37" si="25">SUM(G37:AD37)</f>
        <v>18</v>
      </c>
      <c r="E37" s="65"/>
      <c r="F37" s="66"/>
      <c r="G37" s="67">
        <v>2</v>
      </c>
      <c r="H37" s="68"/>
      <c r="I37" s="68">
        <v>2</v>
      </c>
      <c r="J37" s="67"/>
      <c r="K37" s="64">
        <v>2</v>
      </c>
      <c r="L37" s="65"/>
      <c r="M37" s="65">
        <v>2</v>
      </c>
      <c r="N37" s="65"/>
      <c r="O37" s="65">
        <v>2</v>
      </c>
      <c r="P37" s="65"/>
      <c r="Q37" s="64">
        <v>2</v>
      </c>
      <c r="R37" s="64"/>
      <c r="S37" s="65">
        <v>2</v>
      </c>
      <c r="T37" s="65"/>
      <c r="U37" s="65">
        <v>2</v>
      </c>
      <c r="V37" s="65"/>
      <c r="W37" s="65">
        <v>2</v>
      </c>
      <c r="X37" s="65"/>
      <c r="Y37" s="65"/>
      <c r="Z37" s="65"/>
      <c r="AA37" s="65"/>
      <c r="AB37" s="65"/>
      <c r="AC37" s="65"/>
      <c r="AD37" s="65"/>
      <c r="AE37" s="66" t="s">
        <v>15</v>
      </c>
    </row>
    <row r="38" spans="1:66">
      <c r="A38" s="84"/>
      <c r="B38" s="85"/>
      <c r="C38" s="71"/>
      <c r="D38" s="72"/>
      <c r="E38" s="72">
        <f t="shared" ref="E38" si="26">SUM(G38:AD38)</f>
        <v>26</v>
      </c>
      <c r="F38" s="73"/>
      <c r="G38" s="103">
        <v>2</v>
      </c>
      <c r="H38" s="72">
        <v>2</v>
      </c>
      <c r="I38" s="71">
        <v>2</v>
      </c>
      <c r="J38" s="72">
        <v>2</v>
      </c>
      <c r="K38" s="71">
        <v>2</v>
      </c>
      <c r="L38" s="72">
        <v>2</v>
      </c>
      <c r="M38" s="72">
        <v>2</v>
      </c>
      <c r="N38" s="72">
        <v>2</v>
      </c>
      <c r="O38" s="72">
        <v>2</v>
      </c>
      <c r="P38" s="72">
        <v>2</v>
      </c>
      <c r="Q38" s="71">
        <v>2</v>
      </c>
      <c r="R38" s="71">
        <v>2</v>
      </c>
      <c r="S38" s="72">
        <v>2</v>
      </c>
      <c r="T38" s="72"/>
      <c r="U38" s="72"/>
      <c r="V38" s="72"/>
      <c r="W38" s="72"/>
      <c r="X38" s="72"/>
      <c r="Y38" s="72"/>
      <c r="Z38" s="72"/>
      <c r="AA38" s="72"/>
      <c r="AB38" s="72"/>
      <c r="AC38" s="72"/>
      <c r="AD38" s="72"/>
      <c r="AE38" s="76"/>
    </row>
    <row r="39" spans="1:66" ht="19.5" thickBot="1">
      <c r="A39" s="88"/>
      <c r="B39" s="89"/>
      <c r="C39" s="79"/>
      <c r="D39" s="80"/>
      <c r="E39" s="80"/>
      <c r="F39" s="81">
        <f t="shared" ref="F39" si="27">SUM(G39:AD39)</f>
        <v>10</v>
      </c>
      <c r="G39" s="86"/>
      <c r="H39" s="87"/>
      <c r="I39" s="86"/>
      <c r="J39" s="79"/>
      <c r="K39" s="86"/>
      <c r="L39" s="87"/>
      <c r="M39" s="87"/>
      <c r="N39" s="87"/>
      <c r="O39" s="87"/>
      <c r="P39" s="87"/>
      <c r="Q39" s="86"/>
      <c r="R39" s="86"/>
      <c r="S39" s="87"/>
      <c r="T39" s="87">
        <v>2</v>
      </c>
      <c r="U39" s="87">
        <v>2</v>
      </c>
      <c r="V39" s="87">
        <v>2</v>
      </c>
      <c r="W39" s="87">
        <v>2</v>
      </c>
      <c r="X39" s="87">
        <v>2</v>
      </c>
      <c r="Y39" s="87"/>
      <c r="Z39" s="87"/>
      <c r="AA39" s="87"/>
      <c r="AB39" s="87"/>
      <c r="AC39" s="87"/>
      <c r="AD39" s="87"/>
      <c r="AE39" s="81">
        <v>9</v>
      </c>
    </row>
    <row r="40" spans="1:66" s="4" customFormat="1" ht="19.5" customHeight="1" thickBot="1">
      <c r="A40" s="148" t="s">
        <v>21</v>
      </c>
      <c r="B40" s="149"/>
      <c r="C40" s="149"/>
      <c r="D40" s="149"/>
      <c r="E40" s="149"/>
      <c r="F40" s="149"/>
      <c r="G40" s="149"/>
      <c r="H40" s="149"/>
      <c r="I40" s="149"/>
      <c r="J40" s="149"/>
      <c r="K40" s="149"/>
      <c r="L40" s="149"/>
      <c r="M40" s="149"/>
      <c r="N40" s="149"/>
      <c r="O40" s="149"/>
      <c r="P40" s="149"/>
      <c r="Q40" s="149"/>
      <c r="R40" s="149"/>
      <c r="S40" s="149"/>
      <c r="T40" s="149"/>
      <c r="U40" s="149"/>
      <c r="V40" s="149"/>
      <c r="W40" s="149"/>
      <c r="X40" s="149"/>
      <c r="Y40" s="149"/>
      <c r="Z40" s="149"/>
      <c r="AA40" s="149"/>
      <c r="AB40" s="149"/>
      <c r="AC40" s="149"/>
      <c r="AD40" s="149"/>
      <c r="AE40" s="150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</row>
    <row r="41" spans="1:66" s="4" customFormat="1" ht="19.5">
      <c r="A41" s="82">
        <v>10</v>
      </c>
      <c r="B41" s="83" t="s">
        <v>27</v>
      </c>
      <c r="C41" s="64">
        <f t="shared" ref="C41" si="28">SUM(D41:F43)</f>
        <v>36</v>
      </c>
      <c r="D41" s="65">
        <f t="shared" ref="D41" si="29">SUM(G41:X41)</f>
        <v>18</v>
      </c>
      <c r="E41" s="65"/>
      <c r="F41" s="66"/>
      <c r="G41" s="67">
        <v>2</v>
      </c>
      <c r="H41" s="68"/>
      <c r="I41" s="68">
        <v>2</v>
      </c>
      <c r="J41" s="67"/>
      <c r="K41" s="64">
        <v>2</v>
      </c>
      <c r="L41" s="65"/>
      <c r="M41" s="65">
        <v>2</v>
      </c>
      <c r="N41" s="65"/>
      <c r="O41" s="65">
        <v>2</v>
      </c>
      <c r="P41" s="65"/>
      <c r="Q41" s="64">
        <v>2</v>
      </c>
      <c r="R41" s="64"/>
      <c r="S41" s="65">
        <v>2</v>
      </c>
      <c r="T41" s="65"/>
      <c r="U41" s="65">
        <v>2</v>
      </c>
      <c r="V41" s="65"/>
      <c r="W41" s="65">
        <v>2</v>
      </c>
      <c r="X41" s="66"/>
      <c r="Y41" s="64"/>
      <c r="Z41" s="65"/>
      <c r="AA41" s="65"/>
      <c r="AB41" s="65"/>
      <c r="AC41" s="65"/>
      <c r="AD41" s="65"/>
      <c r="AE41" s="66" t="s">
        <v>22</v>
      </c>
      <c r="AM41" s="11"/>
      <c r="AN41" s="11"/>
      <c r="AO41" s="11"/>
      <c r="AP41" s="11"/>
      <c r="AQ41" s="11"/>
      <c r="AR41" s="11"/>
    </row>
    <row r="42" spans="1:66" s="4" customFormat="1">
      <c r="A42" s="84"/>
      <c r="B42" s="85"/>
      <c r="C42" s="71"/>
      <c r="D42" s="72"/>
      <c r="E42" s="72">
        <f t="shared" ref="E42" si="30">SUM(G42:X42)</f>
        <v>14</v>
      </c>
      <c r="F42" s="73"/>
      <c r="G42" s="71"/>
      <c r="H42" s="71">
        <v>2</v>
      </c>
      <c r="I42" s="71"/>
      <c r="J42" s="71">
        <v>2</v>
      </c>
      <c r="K42" s="71"/>
      <c r="L42" s="71">
        <v>2</v>
      </c>
      <c r="M42" s="71"/>
      <c r="N42" s="71">
        <v>2</v>
      </c>
      <c r="O42" s="71"/>
      <c r="P42" s="71">
        <v>2</v>
      </c>
      <c r="Q42" s="71"/>
      <c r="R42" s="71">
        <v>2</v>
      </c>
      <c r="S42" s="71"/>
      <c r="T42" s="71">
        <v>2</v>
      </c>
      <c r="U42" s="71"/>
      <c r="V42" s="71"/>
      <c r="W42" s="71"/>
      <c r="X42" s="71"/>
      <c r="Y42" s="91"/>
      <c r="Z42" s="72"/>
      <c r="AA42" s="72"/>
      <c r="AB42" s="72"/>
      <c r="AC42" s="72"/>
      <c r="AD42" s="72"/>
      <c r="AE42" s="76"/>
      <c r="AM42" s="12"/>
      <c r="AN42" s="96"/>
      <c r="AO42" s="147"/>
      <c r="AP42" s="147"/>
      <c r="AQ42" s="11"/>
      <c r="AR42" s="11"/>
    </row>
    <row r="43" spans="1:66" s="4" customFormat="1" ht="19.5" thickBot="1">
      <c r="A43" s="88"/>
      <c r="B43" s="89"/>
      <c r="C43" s="79"/>
      <c r="D43" s="80"/>
      <c r="E43" s="80"/>
      <c r="F43" s="81">
        <f t="shared" ref="F43" si="31">SUM(G43:X43)</f>
        <v>4</v>
      </c>
      <c r="G43" s="79"/>
      <c r="H43" s="80"/>
      <c r="I43" s="80"/>
      <c r="J43" s="79"/>
      <c r="K43" s="79"/>
      <c r="L43" s="80"/>
      <c r="M43" s="80"/>
      <c r="N43" s="80"/>
      <c r="O43" s="80"/>
      <c r="P43" s="80"/>
      <c r="Q43" s="79"/>
      <c r="R43" s="79"/>
      <c r="S43" s="80"/>
      <c r="T43" s="80"/>
      <c r="U43" s="80"/>
      <c r="V43" s="80">
        <v>2</v>
      </c>
      <c r="W43" s="80"/>
      <c r="X43" s="92">
        <v>2</v>
      </c>
      <c r="Y43" s="79"/>
      <c r="Z43" s="80"/>
      <c r="AA43" s="80"/>
      <c r="AB43" s="80"/>
      <c r="AC43" s="80"/>
      <c r="AD43" s="80"/>
      <c r="AE43" s="81">
        <v>9</v>
      </c>
      <c r="AM43" s="12"/>
      <c r="AN43" s="96"/>
      <c r="AO43" s="147"/>
      <c r="AP43" s="147"/>
      <c r="AQ43" s="11"/>
      <c r="AR43" s="11"/>
    </row>
    <row r="44" spans="1:66" s="4" customFormat="1" ht="19.5" thickBot="1">
      <c r="A44" s="148" t="s">
        <v>20</v>
      </c>
      <c r="B44" s="149"/>
      <c r="C44" s="149"/>
      <c r="D44" s="149"/>
      <c r="E44" s="149"/>
      <c r="F44" s="149"/>
      <c r="G44" s="149"/>
      <c r="H44" s="149"/>
      <c r="I44" s="149"/>
      <c r="J44" s="149"/>
      <c r="K44" s="149"/>
      <c r="L44" s="149"/>
      <c r="M44" s="149"/>
      <c r="N44" s="149"/>
      <c r="O44" s="149"/>
      <c r="P44" s="149"/>
      <c r="Q44" s="149"/>
      <c r="R44" s="149"/>
      <c r="S44" s="149"/>
      <c r="T44" s="149"/>
      <c r="U44" s="149"/>
      <c r="V44" s="149"/>
      <c r="W44" s="149"/>
      <c r="X44" s="149"/>
      <c r="Y44" s="149"/>
      <c r="Z44" s="149"/>
      <c r="AA44" s="149"/>
      <c r="AB44" s="149"/>
      <c r="AC44" s="149"/>
      <c r="AD44" s="149"/>
      <c r="AE44" s="150"/>
      <c r="AH44" s="101"/>
      <c r="AI44" s="99"/>
      <c r="AJ44" s="100"/>
      <c r="AK44" s="100"/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100"/>
      <c r="AX44" s="100"/>
      <c r="AY44" s="100"/>
      <c r="AZ44" s="100"/>
      <c r="BA44" s="100"/>
      <c r="BB44" s="100"/>
      <c r="BC44" s="100"/>
      <c r="BD44" s="100"/>
      <c r="BE44" s="100"/>
      <c r="BF44" s="100"/>
      <c r="BG44" s="100"/>
      <c r="BH44" s="100"/>
      <c r="BI44" s="100"/>
      <c r="BJ44" s="100"/>
      <c r="BK44" s="100"/>
      <c r="BL44" s="100"/>
      <c r="BM44" s="11"/>
      <c r="BN44" s="11"/>
    </row>
    <row r="45" spans="1:66" s="4" customFormat="1" ht="19.5">
      <c r="A45" s="82">
        <v>10</v>
      </c>
      <c r="B45" s="83" t="s">
        <v>27</v>
      </c>
      <c r="C45" s="64">
        <f t="shared" ref="C45" si="32">SUM(D45:F47)</f>
        <v>54</v>
      </c>
      <c r="D45" s="65">
        <f t="shared" ref="D45" si="33">SUM(G45:X45)</f>
        <v>18</v>
      </c>
      <c r="E45" s="65"/>
      <c r="F45" s="66"/>
      <c r="G45" s="67">
        <v>2</v>
      </c>
      <c r="H45" s="68"/>
      <c r="I45" s="68">
        <v>2</v>
      </c>
      <c r="J45" s="67"/>
      <c r="K45" s="64">
        <v>2</v>
      </c>
      <c r="L45" s="65"/>
      <c r="M45" s="65">
        <v>2</v>
      </c>
      <c r="N45" s="65"/>
      <c r="O45" s="65">
        <v>2</v>
      </c>
      <c r="P45" s="65"/>
      <c r="Q45" s="64">
        <v>2</v>
      </c>
      <c r="R45" s="64"/>
      <c r="S45" s="65">
        <v>2</v>
      </c>
      <c r="T45" s="65"/>
      <c r="U45" s="65">
        <v>2</v>
      </c>
      <c r="V45" s="65"/>
      <c r="W45" s="65">
        <v>2</v>
      </c>
      <c r="X45" s="66"/>
      <c r="Y45" s="64"/>
      <c r="Z45" s="65"/>
      <c r="AA45" s="65"/>
      <c r="AB45" s="65"/>
      <c r="AC45" s="65"/>
      <c r="AD45" s="65"/>
      <c r="AE45" s="66" t="s">
        <v>22</v>
      </c>
      <c r="AM45" s="11"/>
      <c r="AN45" s="11"/>
      <c r="AO45" s="11"/>
      <c r="AP45" s="11"/>
      <c r="AQ45" s="11"/>
      <c r="AR45" s="11"/>
    </row>
    <row r="46" spans="1:66" s="4" customFormat="1">
      <c r="A46" s="84"/>
      <c r="B46" s="85"/>
      <c r="C46" s="71"/>
      <c r="D46" s="72"/>
      <c r="E46" s="72">
        <f t="shared" ref="E46" si="34">SUM(G46:X46)</f>
        <v>18</v>
      </c>
      <c r="F46" s="73"/>
      <c r="G46" s="71">
        <v>2</v>
      </c>
      <c r="H46" s="71">
        <v>2</v>
      </c>
      <c r="I46" s="71">
        <v>2</v>
      </c>
      <c r="J46" s="71">
        <v>2</v>
      </c>
      <c r="K46" s="71">
        <v>2</v>
      </c>
      <c r="L46" s="71">
        <v>2</v>
      </c>
      <c r="M46" s="71">
        <v>2</v>
      </c>
      <c r="N46" s="71">
        <v>2</v>
      </c>
      <c r="O46" s="71">
        <v>2</v>
      </c>
      <c r="P46" s="71"/>
      <c r="Q46" s="71"/>
      <c r="R46" s="71"/>
      <c r="S46" s="71"/>
      <c r="T46" s="71"/>
      <c r="U46" s="71"/>
      <c r="V46" s="71"/>
      <c r="W46" s="71"/>
      <c r="X46" s="90"/>
      <c r="Y46" s="91"/>
      <c r="Z46" s="72"/>
      <c r="AA46" s="72"/>
      <c r="AB46" s="72"/>
      <c r="AC46" s="72"/>
      <c r="AD46" s="72"/>
      <c r="AE46" s="76"/>
      <c r="AM46" s="12"/>
      <c r="AN46" s="96"/>
      <c r="AO46" s="147"/>
      <c r="AP46" s="147"/>
      <c r="AQ46" s="11"/>
      <c r="AR46" s="11"/>
    </row>
    <row r="47" spans="1:66" s="4" customFormat="1" ht="19.5" thickBot="1">
      <c r="A47" s="97"/>
      <c r="B47" s="89"/>
      <c r="C47" s="79"/>
      <c r="D47" s="80"/>
      <c r="E47" s="80"/>
      <c r="F47" s="81">
        <f t="shared" ref="F47" si="35">SUM(G47:X47)</f>
        <v>18</v>
      </c>
      <c r="G47" s="102"/>
      <c r="H47" s="87"/>
      <c r="I47" s="87"/>
      <c r="J47" s="86"/>
      <c r="K47" s="86"/>
      <c r="L47" s="87"/>
      <c r="M47" s="87"/>
      <c r="N47" s="87"/>
      <c r="O47" s="87"/>
      <c r="P47" s="87">
        <v>2</v>
      </c>
      <c r="Q47" s="86">
        <v>2</v>
      </c>
      <c r="R47" s="86">
        <v>2</v>
      </c>
      <c r="S47" s="87">
        <v>2</v>
      </c>
      <c r="T47" s="87">
        <v>2</v>
      </c>
      <c r="U47" s="87">
        <v>2</v>
      </c>
      <c r="V47" s="87">
        <v>2</v>
      </c>
      <c r="W47" s="87">
        <v>2</v>
      </c>
      <c r="X47" s="92">
        <v>2</v>
      </c>
      <c r="Y47" s="86"/>
      <c r="Z47" s="87"/>
      <c r="AA47" s="87"/>
      <c r="AB47" s="87"/>
      <c r="AC47" s="87"/>
      <c r="AD47" s="87"/>
      <c r="AE47" s="81">
        <v>9</v>
      </c>
      <c r="AM47" s="12"/>
      <c r="AN47" s="96"/>
      <c r="AO47" s="147"/>
      <c r="AP47" s="147"/>
      <c r="AQ47" s="11"/>
      <c r="AR47" s="11"/>
    </row>
    <row r="48" spans="1:66" s="4" customFormat="1" ht="19.5" thickBot="1">
      <c r="A48" s="146" t="s">
        <v>23</v>
      </c>
      <c r="B48" s="146"/>
      <c r="C48" s="146"/>
      <c r="D48" s="146"/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6"/>
      <c r="AE48" s="146"/>
      <c r="AM48" s="12"/>
      <c r="AN48" s="96"/>
      <c r="AO48" s="98"/>
      <c r="AP48" s="98"/>
      <c r="AQ48" s="11"/>
      <c r="AR48" s="11"/>
    </row>
    <row r="49" spans="1:44" s="4" customFormat="1" ht="19.5" thickBot="1">
      <c r="A49" s="143" t="s">
        <v>49</v>
      </c>
      <c r="B49" s="143"/>
      <c r="C49" s="143"/>
      <c r="D49" s="143"/>
      <c r="E49" s="143"/>
      <c r="F49" s="143"/>
      <c r="G49" s="143"/>
      <c r="H49" s="143"/>
      <c r="I49" s="143"/>
      <c r="J49" s="143"/>
      <c r="K49" s="144"/>
      <c r="L49" s="144"/>
      <c r="M49" s="144"/>
      <c r="N49" s="144"/>
      <c r="O49" s="144"/>
      <c r="P49" s="144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  <c r="AC49" s="143"/>
      <c r="AD49" s="143"/>
      <c r="AE49" s="143"/>
      <c r="AM49" s="12"/>
      <c r="AN49" s="96"/>
      <c r="AO49" s="141"/>
      <c r="AP49" s="141"/>
      <c r="AQ49" s="11"/>
      <c r="AR49" s="11"/>
    </row>
    <row r="50" spans="1:44" s="4" customFormat="1" ht="19.5">
      <c r="A50" s="82">
        <v>10</v>
      </c>
      <c r="B50" s="83" t="s">
        <v>27</v>
      </c>
      <c r="C50" s="64">
        <f t="shared" ref="C50" si="36">SUM(D50:F52)</f>
        <v>36</v>
      </c>
      <c r="D50" s="65">
        <f t="shared" ref="D50" si="37">SUM(G50:X50)</f>
        <v>18</v>
      </c>
      <c r="E50" s="65"/>
      <c r="F50" s="66"/>
      <c r="G50" s="67">
        <v>2</v>
      </c>
      <c r="H50" s="68"/>
      <c r="I50" s="68">
        <v>2</v>
      </c>
      <c r="J50" s="67"/>
      <c r="K50" s="64">
        <v>2</v>
      </c>
      <c r="L50" s="65"/>
      <c r="M50" s="65">
        <v>2</v>
      </c>
      <c r="N50" s="65"/>
      <c r="O50" s="65">
        <v>2</v>
      </c>
      <c r="P50" s="65"/>
      <c r="Q50" s="64">
        <v>2</v>
      </c>
      <c r="R50" s="64"/>
      <c r="S50" s="65">
        <v>2</v>
      </c>
      <c r="T50" s="65"/>
      <c r="U50" s="65">
        <v>2</v>
      </c>
      <c r="V50" s="65"/>
      <c r="W50" s="65">
        <v>2</v>
      </c>
      <c r="X50" s="65"/>
      <c r="Y50" s="65"/>
      <c r="Z50" s="65"/>
      <c r="AA50" s="65"/>
      <c r="AB50" s="65"/>
      <c r="AC50" s="65"/>
      <c r="AD50" s="65"/>
      <c r="AE50" s="66" t="s">
        <v>15</v>
      </c>
      <c r="AM50" s="11"/>
      <c r="AN50" s="11"/>
      <c r="AO50" s="11"/>
      <c r="AP50" s="11"/>
      <c r="AQ50" s="11"/>
      <c r="AR50" s="11"/>
    </row>
    <row r="51" spans="1:44" s="4" customFormat="1">
      <c r="A51" s="84"/>
      <c r="B51" s="85"/>
      <c r="C51" s="71"/>
      <c r="D51" s="72"/>
      <c r="E51" s="72">
        <f t="shared" ref="E51" si="38">SUM(G51:X51)</f>
        <v>10</v>
      </c>
      <c r="F51" s="73"/>
      <c r="G51" s="71"/>
      <c r="H51" s="72">
        <v>2</v>
      </c>
      <c r="I51" s="72"/>
      <c r="J51" s="71">
        <v>2</v>
      </c>
      <c r="K51" s="74"/>
      <c r="L51" s="72">
        <v>2</v>
      </c>
      <c r="M51" s="72"/>
      <c r="N51" s="72">
        <v>2</v>
      </c>
      <c r="O51" s="72"/>
      <c r="P51" s="72">
        <v>2</v>
      </c>
      <c r="Q51" s="71"/>
      <c r="R51" s="71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6"/>
      <c r="AM51" s="12"/>
      <c r="AN51" s="96"/>
      <c r="AO51" s="147"/>
      <c r="AP51" s="147"/>
      <c r="AQ51" s="11"/>
      <c r="AR51" s="11"/>
    </row>
    <row r="52" spans="1:44" s="4" customFormat="1" ht="19.5" thickBot="1">
      <c r="A52" s="88"/>
      <c r="B52" s="89"/>
      <c r="C52" s="79"/>
      <c r="D52" s="80"/>
      <c r="E52" s="80"/>
      <c r="F52" s="81">
        <f t="shared" ref="F52" si="39">SUM(G52:X52)</f>
        <v>8</v>
      </c>
      <c r="G52" s="79"/>
      <c r="H52" s="80"/>
      <c r="I52" s="80"/>
      <c r="J52" s="79"/>
      <c r="K52" s="86"/>
      <c r="L52" s="87"/>
      <c r="M52" s="87"/>
      <c r="N52" s="87"/>
      <c r="O52" s="87"/>
      <c r="P52" s="87"/>
      <c r="Q52" s="86"/>
      <c r="R52" s="86">
        <v>2</v>
      </c>
      <c r="S52" s="87"/>
      <c r="T52" s="87">
        <v>2</v>
      </c>
      <c r="U52" s="87"/>
      <c r="V52" s="87">
        <v>2</v>
      </c>
      <c r="W52" s="87"/>
      <c r="X52" s="87">
        <v>2</v>
      </c>
      <c r="Y52" s="87"/>
      <c r="Z52" s="87"/>
      <c r="AA52" s="87"/>
      <c r="AB52" s="87"/>
      <c r="AC52" s="87"/>
      <c r="AD52" s="87"/>
      <c r="AE52" s="81">
        <v>9</v>
      </c>
      <c r="AM52" s="12"/>
      <c r="AN52" s="96"/>
      <c r="AO52" s="147"/>
      <c r="AP52" s="147"/>
      <c r="AQ52" s="11"/>
      <c r="AR52" s="11"/>
    </row>
    <row r="53" spans="1:44" s="4" customFormat="1" ht="19.5" thickBot="1">
      <c r="A53" s="148" t="s">
        <v>24</v>
      </c>
      <c r="B53" s="149"/>
      <c r="C53" s="149"/>
      <c r="D53" s="149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  <c r="AB53" s="149"/>
      <c r="AC53" s="149"/>
      <c r="AD53" s="149"/>
      <c r="AE53" s="150"/>
      <c r="AM53" s="11"/>
      <c r="AN53" s="11"/>
      <c r="AO53" s="11"/>
      <c r="AP53" s="11"/>
      <c r="AQ53" s="11"/>
      <c r="AR53" s="11"/>
    </row>
    <row r="54" spans="1:44" s="4" customFormat="1" ht="37.5">
      <c r="A54" s="82">
        <v>10</v>
      </c>
      <c r="B54" s="83" t="s">
        <v>28</v>
      </c>
      <c r="C54" s="64">
        <f t="shared" ref="C54" si="40">SUM(D54:F56)</f>
        <v>48</v>
      </c>
      <c r="D54" s="65">
        <f t="shared" ref="D54" si="41">SUM(G54:X54)</f>
        <v>16</v>
      </c>
      <c r="E54" s="65"/>
      <c r="F54" s="66"/>
      <c r="G54" s="67">
        <v>2</v>
      </c>
      <c r="H54" s="68"/>
      <c r="I54" s="68">
        <v>2</v>
      </c>
      <c r="J54" s="67"/>
      <c r="K54" s="64">
        <v>2</v>
      </c>
      <c r="L54" s="65"/>
      <c r="M54" s="65">
        <v>2</v>
      </c>
      <c r="N54" s="65"/>
      <c r="O54" s="65">
        <v>2</v>
      </c>
      <c r="P54" s="65"/>
      <c r="Q54" s="64">
        <v>2</v>
      </c>
      <c r="R54" s="64"/>
      <c r="S54" s="65">
        <v>2</v>
      </c>
      <c r="T54" s="65"/>
      <c r="U54" s="65">
        <v>2</v>
      </c>
      <c r="V54" s="66"/>
      <c r="W54" s="64"/>
      <c r="X54" s="65"/>
      <c r="Y54" s="64"/>
      <c r="Z54" s="65"/>
      <c r="AA54" s="65"/>
      <c r="AB54" s="65"/>
      <c r="AC54" s="65"/>
      <c r="AD54" s="65"/>
      <c r="AE54" s="66" t="s">
        <v>19</v>
      </c>
      <c r="AM54" s="11"/>
      <c r="AN54" s="11"/>
      <c r="AO54" s="11"/>
      <c r="AP54" s="11"/>
      <c r="AQ54" s="11"/>
      <c r="AR54" s="11"/>
    </row>
    <row r="55" spans="1:44" s="4" customFormat="1">
      <c r="A55" s="84"/>
      <c r="B55" s="85"/>
      <c r="C55" s="71"/>
      <c r="D55" s="72"/>
      <c r="E55" s="72">
        <f t="shared" ref="E55" si="42">SUM(G55:X55)</f>
        <v>26</v>
      </c>
      <c r="F55" s="73"/>
      <c r="G55" s="71">
        <v>2</v>
      </c>
      <c r="H55" s="71">
        <v>2</v>
      </c>
      <c r="I55" s="71">
        <v>2</v>
      </c>
      <c r="J55" s="71">
        <v>2</v>
      </c>
      <c r="K55" s="71">
        <v>2</v>
      </c>
      <c r="L55" s="71">
        <v>2</v>
      </c>
      <c r="M55" s="71">
        <v>2</v>
      </c>
      <c r="N55" s="71">
        <v>2</v>
      </c>
      <c r="O55" s="71">
        <v>2</v>
      </c>
      <c r="P55" s="71">
        <v>2</v>
      </c>
      <c r="Q55" s="71">
        <v>2</v>
      </c>
      <c r="R55" s="71">
        <v>2</v>
      </c>
      <c r="S55" s="71">
        <v>2</v>
      </c>
      <c r="T55" s="72"/>
      <c r="U55" s="72"/>
      <c r="V55" s="73"/>
      <c r="W55" s="71"/>
      <c r="X55" s="72"/>
      <c r="Y55" s="71"/>
      <c r="Z55" s="72"/>
      <c r="AA55" s="72"/>
      <c r="AB55" s="72"/>
      <c r="AC55" s="72"/>
      <c r="AD55" s="72"/>
      <c r="AE55" s="76"/>
      <c r="AM55" s="12"/>
      <c r="AN55" s="96"/>
      <c r="AO55" s="147"/>
      <c r="AP55" s="147"/>
      <c r="AQ55" s="11"/>
      <c r="AR55" s="11"/>
    </row>
    <row r="56" spans="1:44" s="4" customFormat="1" ht="19.5" thickBot="1">
      <c r="A56" s="88"/>
      <c r="B56" s="89"/>
      <c r="C56" s="79"/>
      <c r="D56" s="80"/>
      <c r="E56" s="80"/>
      <c r="F56" s="81">
        <f t="shared" ref="F56" si="43">SUM(G56:X56)</f>
        <v>6</v>
      </c>
      <c r="G56" s="79"/>
      <c r="H56" s="80"/>
      <c r="I56" s="80"/>
      <c r="J56" s="79"/>
      <c r="K56" s="79"/>
      <c r="L56" s="80"/>
      <c r="M56" s="80"/>
      <c r="N56" s="80"/>
      <c r="O56" s="80"/>
      <c r="P56" s="80"/>
      <c r="Q56" s="86"/>
      <c r="R56" s="86"/>
      <c r="S56" s="87"/>
      <c r="T56" s="87">
        <v>2</v>
      </c>
      <c r="U56" s="87">
        <v>2</v>
      </c>
      <c r="V56" s="92">
        <v>2</v>
      </c>
      <c r="W56" s="86"/>
      <c r="X56" s="87"/>
      <c r="Y56" s="86"/>
      <c r="Z56" s="87"/>
      <c r="AA56" s="87"/>
      <c r="AB56" s="87"/>
      <c r="AC56" s="87"/>
      <c r="AD56" s="87"/>
      <c r="AE56" s="81">
        <v>9</v>
      </c>
      <c r="AM56" s="12"/>
      <c r="AN56" s="96"/>
      <c r="AO56" s="147"/>
      <c r="AP56" s="147"/>
      <c r="AQ56" s="11"/>
      <c r="AR56" s="11"/>
    </row>
    <row r="57" spans="1:44" s="4" customFormat="1" ht="19.5" thickBot="1">
      <c r="A57" s="148" t="s">
        <v>30</v>
      </c>
      <c r="B57" s="149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  <c r="AB57" s="149"/>
      <c r="AC57" s="149"/>
      <c r="AD57" s="149"/>
      <c r="AE57" s="150"/>
      <c r="AM57" s="11"/>
      <c r="AN57" s="11"/>
      <c r="AO57" s="11"/>
      <c r="AP57" s="11"/>
      <c r="AQ57" s="11"/>
      <c r="AR57" s="11"/>
    </row>
    <row r="58" spans="1:44" s="4" customFormat="1" ht="75">
      <c r="A58" s="62">
        <v>10</v>
      </c>
      <c r="B58" s="63" t="s">
        <v>29</v>
      </c>
      <c r="C58" s="64">
        <f>SUM(D58:F60)</f>
        <v>72</v>
      </c>
      <c r="D58" s="65">
        <f>SUM(G58:X58)</f>
        <v>36</v>
      </c>
      <c r="E58" s="65"/>
      <c r="F58" s="66"/>
      <c r="G58" s="67">
        <v>2</v>
      </c>
      <c r="H58" s="67">
        <v>2</v>
      </c>
      <c r="I58" s="67">
        <v>2</v>
      </c>
      <c r="J58" s="67">
        <v>2</v>
      </c>
      <c r="K58" s="67">
        <v>2</v>
      </c>
      <c r="L58" s="67">
        <v>2</v>
      </c>
      <c r="M58" s="67">
        <v>2</v>
      </c>
      <c r="N58" s="67">
        <v>2</v>
      </c>
      <c r="O58" s="67">
        <v>2</v>
      </c>
      <c r="P58" s="67">
        <v>2</v>
      </c>
      <c r="Q58" s="67">
        <v>2</v>
      </c>
      <c r="R58" s="67">
        <v>2</v>
      </c>
      <c r="S58" s="67">
        <v>2</v>
      </c>
      <c r="T58" s="67">
        <v>2</v>
      </c>
      <c r="U58" s="67">
        <v>2</v>
      </c>
      <c r="V58" s="67">
        <v>2</v>
      </c>
      <c r="W58" s="67">
        <v>2</v>
      </c>
      <c r="X58" s="66">
        <v>2</v>
      </c>
      <c r="Y58" s="64"/>
      <c r="Z58" s="65"/>
      <c r="AA58" s="65"/>
      <c r="AB58" s="65"/>
      <c r="AC58" s="65"/>
      <c r="AD58" s="65"/>
      <c r="AE58" s="66" t="s">
        <v>15</v>
      </c>
    </row>
    <row r="59" spans="1:44" s="4" customFormat="1" ht="19.5">
      <c r="A59" s="69"/>
      <c r="B59" s="70"/>
      <c r="C59" s="71"/>
      <c r="D59" s="72"/>
      <c r="E59" s="72">
        <f>SUM(G59:X59)</f>
        <v>36</v>
      </c>
      <c r="F59" s="73"/>
      <c r="G59" s="71"/>
      <c r="H59" s="71">
        <v>4</v>
      </c>
      <c r="I59" s="71"/>
      <c r="J59" s="71">
        <v>4</v>
      </c>
      <c r="K59" s="71"/>
      <c r="L59" s="71">
        <v>4</v>
      </c>
      <c r="M59" s="71"/>
      <c r="N59" s="71">
        <v>4</v>
      </c>
      <c r="O59" s="71"/>
      <c r="P59" s="71">
        <v>4</v>
      </c>
      <c r="Q59" s="71"/>
      <c r="R59" s="71">
        <v>4</v>
      </c>
      <c r="S59" s="71"/>
      <c r="T59" s="71">
        <v>4</v>
      </c>
      <c r="U59" s="71"/>
      <c r="V59" s="71">
        <v>4</v>
      </c>
      <c r="W59" s="71"/>
      <c r="X59" s="90">
        <v>4</v>
      </c>
      <c r="Y59" s="91"/>
      <c r="Z59" s="72"/>
      <c r="AA59" s="72"/>
      <c r="AB59" s="72"/>
      <c r="AC59" s="72"/>
      <c r="AD59" s="72"/>
      <c r="AE59" s="76"/>
    </row>
    <row r="60" spans="1:44" s="4" customFormat="1" ht="21.75" customHeight="1" thickBot="1">
      <c r="A60" s="77"/>
      <c r="B60" s="78"/>
      <c r="C60" s="79"/>
      <c r="D60" s="80"/>
      <c r="E60" s="80"/>
      <c r="F60" s="81">
        <f>SUM(G60:X60)</f>
        <v>0</v>
      </c>
      <c r="G60" s="79"/>
      <c r="H60" s="80"/>
      <c r="I60" s="80"/>
      <c r="J60" s="79"/>
      <c r="K60" s="79"/>
      <c r="L60" s="80"/>
      <c r="M60" s="80"/>
      <c r="N60" s="80"/>
      <c r="O60" s="80"/>
      <c r="P60" s="80"/>
      <c r="Q60" s="79"/>
      <c r="R60" s="79"/>
      <c r="S60" s="80"/>
      <c r="T60" s="80"/>
      <c r="U60" s="80"/>
      <c r="V60" s="80"/>
      <c r="W60" s="80"/>
      <c r="X60" s="92"/>
      <c r="Y60" s="79"/>
      <c r="Z60" s="80"/>
      <c r="AA60" s="80"/>
      <c r="AB60" s="80"/>
      <c r="AC60" s="80"/>
      <c r="AD60" s="80"/>
      <c r="AE60" s="81">
        <v>18</v>
      </c>
      <c r="AM60" s="11"/>
      <c r="AN60" s="11"/>
      <c r="AO60" s="11"/>
      <c r="AP60" s="11"/>
      <c r="AQ60" s="11"/>
      <c r="AR60" s="11"/>
    </row>
    <row r="61" spans="1:44" s="4" customFormat="1" ht="46.5" customHeight="1" thickBot="1">
      <c r="A61" s="146" t="s">
        <v>31</v>
      </c>
      <c r="B61" s="146"/>
      <c r="C61" s="146"/>
      <c r="D61" s="146"/>
      <c r="E61" s="146"/>
      <c r="F61" s="146"/>
      <c r="G61" s="146"/>
      <c r="H61" s="146"/>
      <c r="I61" s="146"/>
      <c r="J61" s="146"/>
      <c r="K61" s="146"/>
      <c r="L61" s="146"/>
      <c r="M61" s="146"/>
      <c r="N61" s="146"/>
      <c r="O61" s="146"/>
      <c r="P61" s="146"/>
      <c r="Q61" s="146"/>
      <c r="R61" s="146"/>
      <c r="S61" s="146"/>
      <c r="T61" s="146"/>
      <c r="U61" s="146"/>
      <c r="V61" s="146"/>
      <c r="W61" s="146"/>
      <c r="X61" s="146"/>
      <c r="Y61" s="146"/>
      <c r="Z61" s="146"/>
      <c r="AA61" s="146"/>
      <c r="AB61" s="146"/>
      <c r="AC61" s="146"/>
      <c r="AD61" s="146"/>
      <c r="AE61" s="146"/>
      <c r="AM61" s="11"/>
      <c r="AN61" s="11"/>
      <c r="AO61" s="11"/>
      <c r="AP61" s="11"/>
      <c r="AQ61" s="11"/>
      <c r="AR61" s="11"/>
    </row>
    <row r="62" spans="1:44" s="4" customFormat="1" ht="26.25" customHeight="1" thickBot="1">
      <c r="A62" s="143" t="s">
        <v>39</v>
      </c>
      <c r="B62" s="143"/>
      <c r="C62" s="143"/>
      <c r="D62" s="143"/>
      <c r="E62" s="143"/>
      <c r="F62" s="143"/>
      <c r="G62" s="144"/>
      <c r="H62" s="144"/>
      <c r="I62" s="144"/>
      <c r="J62" s="144"/>
      <c r="K62" s="144"/>
      <c r="L62" s="144"/>
      <c r="M62" s="144"/>
      <c r="N62" s="144"/>
      <c r="O62" s="144"/>
      <c r="P62" s="144"/>
      <c r="Q62" s="143"/>
      <c r="R62" s="144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  <c r="AC62" s="143"/>
      <c r="AD62" s="143"/>
      <c r="AE62" s="143"/>
    </row>
    <row r="63" spans="1:44" s="4" customFormat="1" ht="19.5">
      <c r="A63" s="109">
        <v>10</v>
      </c>
      <c r="B63" s="110" t="s">
        <v>27</v>
      </c>
      <c r="C63" s="111">
        <f>SUM(D63:F65)</f>
        <v>50</v>
      </c>
      <c r="D63" s="112">
        <f>SUM(K63:Q63)</f>
        <v>20</v>
      </c>
      <c r="E63" s="112"/>
      <c r="F63" s="113"/>
      <c r="G63" s="151"/>
      <c r="H63" s="152"/>
      <c r="I63" s="152"/>
      <c r="J63" s="153"/>
      <c r="K63" s="111">
        <v>4</v>
      </c>
      <c r="L63" s="112">
        <v>2</v>
      </c>
      <c r="M63" s="112">
        <v>4</v>
      </c>
      <c r="N63" s="112">
        <v>2</v>
      </c>
      <c r="O63" s="112">
        <v>4</v>
      </c>
      <c r="P63" s="112">
        <v>2</v>
      </c>
      <c r="Q63" s="114">
        <v>2</v>
      </c>
      <c r="R63" s="188"/>
      <c r="S63" s="111"/>
      <c r="T63" s="112"/>
      <c r="U63" s="112"/>
      <c r="V63" s="112"/>
      <c r="W63" s="112"/>
      <c r="X63" s="112"/>
      <c r="Y63" s="112"/>
      <c r="Z63" s="112"/>
      <c r="AA63" s="112"/>
      <c r="AB63" s="112"/>
      <c r="AC63" s="112"/>
      <c r="AD63" s="112"/>
      <c r="AE63" s="114" t="s">
        <v>40</v>
      </c>
      <c r="AM63" s="11"/>
      <c r="AN63" s="11"/>
      <c r="AO63" s="11"/>
      <c r="AP63" s="11"/>
      <c r="AQ63" s="11"/>
      <c r="AR63" s="11"/>
    </row>
    <row r="64" spans="1:44" s="4" customFormat="1">
      <c r="A64" s="115"/>
      <c r="B64" s="116"/>
      <c r="C64" s="117"/>
      <c r="D64" s="118"/>
      <c r="E64" s="118">
        <f>SUM(K64:Q64)</f>
        <v>22</v>
      </c>
      <c r="F64" s="119"/>
      <c r="G64" s="154"/>
      <c r="H64" s="144"/>
      <c r="I64" s="144"/>
      <c r="J64" s="155"/>
      <c r="K64" s="117">
        <v>4</v>
      </c>
      <c r="L64" s="118">
        <v>4</v>
      </c>
      <c r="M64" s="118">
        <v>4</v>
      </c>
      <c r="N64" s="118">
        <v>4</v>
      </c>
      <c r="O64" s="118">
        <v>4</v>
      </c>
      <c r="P64" s="118">
        <v>2</v>
      </c>
      <c r="Q64" s="120"/>
      <c r="R64" s="189"/>
      <c r="S64" s="117"/>
      <c r="T64" s="118"/>
      <c r="U64" s="118"/>
      <c r="V64" s="118"/>
      <c r="W64" s="118"/>
      <c r="X64" s="118"/>
      <c r="Y64" s="118"/>
      <c r="Z64" s="118"/>
      <c r="AA64" s="118"/>
      <c r="AB64" s="118"/>
      <c r="AC64" s="118"/>
      <c r="AD64" s="118"/>
      <c r="AE64" s="121"/>
      <c r="AM64" s="12"/>
      <c r="AN64" s="96"/>
      <c r="AO64" s="147"/>
      <c r="AP64" s="147"/>
      <c r="AQ64" s="11"/>
      <c r="AR64" s="11"/>
    </row>
    <row r="65" spans="1:44" s="4" customFormat="1" ht="19.5" thickBot="1">
      <c r="A65" s="126"/>
      <c r="B65" s="127"/>
      <c r="C65" s="122"/>
      <c r="D65" s="123"/>
      <c r="E65" s="123"/>
      <c r="F65" s="124">
        <f>SUM(K65:Q65)</f>
        <v>8</v>
      </c>
      <c r="G65" s="156"/>
      <c r="H65" s="145"/>
      <c r="I65" s="145"/>
      <c r="J65" s="157"/>
      <c r="K65" s="128"/>
      <c r="L65" s="129"/>
      <c r="M65" s="129"/>
      <c r="N65" s="129"/>
      <c r="O65" s="129"/>
      <c r="P65" s="129">
        <v>4</v>
      </c>
      <c r="Q65" s="130">
        <v>4</v>
      </c>
      <c r="R65" s="190"/>
      <c r="S65" s="128"/>
      <c r="T65" s="129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25">
        <v>36</v>
      </c>
      <c r="AM65" s="12"/>
      <c r="AN65" s="96"/>
      <c r="AO65" s="147"/>
      <c r="AP65" s="147"/>
      <c r="AQ65" s="11"/>
      <c r="AR65" s="11"/>
    </row>
    <row r="66" spans="1:44" s="4" customFormat="1" ht="19.5" thickBot="1">
      <c r="A66" s="191" t="s">
        <v>41</v>
      </c>
      <c r="B66" s="192"/>
      <c r="C66" s="192"/>
      <c r="D66" s="192"/>
      <c r="E66" s="192"/>
      <c r="F66" s="192"/>
      <c r="G66" s="192"/>
      <c r="H66" s="192"/>
      <c r="I66" s="192"/>
      <c r="J66" s="192"/>
      <c r="K66" s="192"/>
      <c r="L66" s="192"/>
      <c r="M66" s="192"/>
      <c r="N66" s="192"/>
      <c r="O66" s="192"/>
      <c r="P66" s="192"/>
      <c r="Q66" s="192"/>
      <c r="R66" s="192"/>
      <c r="S66" s="192"/>
      <c r="T66" s="192"/>
      <c r="U66" s="192"/>
      <c r="V66" s="192"/>
      <c r="W66" s="192"/>
      <c r="X66" s="192"/>
      <c r="Y66" s="192"/>
      <c r="Z66" s="192"/>
      <c r="AA66" s="192"/>
      <c r="AB66" s="192"/>
      <c r="AC66" s="192"/>
      <c r="AD66" s="192"/>
      <c r="AE66" s="193"/>
      <c r="AM66" s="12"/>
      <c r="AN66" s="96"/>
      <c r="AO66" s="108"/>
      <c r="AP66" s="108"/>
      <c r="AQ66" s="11"/>
      <c r="AR66" s="11"/>
    </row>
    <row r="67" spans="1:44" s="4" customFormat="1" ht="19.5">
      <c r="A67" s="109">
        <v>10</v>
      </c>
      <c r="B67" s="110" t="s">
        <v>27</v>
      </c>
      <c r="C67" s="111">
        <f>SUM(G67:H67,M67:Q67)</f>
        <v>20</v>
      </c>
      <c r="D67" s="118">
        <f>SUM(G67:H67,M67:Q67)</f>
        <v>20</v>
      </c>
      <c r="E67" s="112"/>
      <c r="F67" s="113"/>
      <c r="G67" s="131">
        <v>4</v>
      </c>
      <c r="H67" s="136">
        <v>2</v>
      </c>
      <c r="I67" s="151"/>
      <c r="J67" s="152"/>
      <c r="K67" s="152"/>
      <c r="L67" s="153"/>
      <c r="M67" s="111">
        <v>4</v>
      </c>
      <c r="N67" s="112">
        <v>2</v>
      </c>
      <c r="O67" s="112">
        <v>4</v>
      </c>
      <c r="P67" s="112">
        <v>2</v>
      </c>
      <c r="Q67" s="112">
        <v>2</v>
      </c>
      <c r="R67" s="133"/>
      <c r="S67" s="111"/>
      <c r="T67" s="112"/>
      <c r="U67" s="112"/>
      <c r="V67" s="112"/>
      <c r="W67" s="112"/>
      <c r="X67" s="112"/>
      <c r="Y67" s="112"/>
      <c r="Z67" s="112"/>
      <c r="AA67" s="112"/>
      <c r="AB67" s="112"/>
      <c r="AC67" s="112"/>
      <c r="AD67" s="112"/>
      <c r="AE67" s="114" t="s">
        <v>40</v>
      </c>
      <c r="AM67" s="11"/>
      <c r="AN67" s="11"/>
      <c r="AO67" s="11"/>
      <c r="AP67" s="11"/>
      <c r="AQ67" s="11"/>
      <c r="AR67" s="11"/>
    </row>
    <row r="68" spans="1:44" s="4" customFormat="1">
      <c r="A68" s="115"/>
      <c r="B68" s="116"/>
      <c r="C68" s="117"/>
      <c r="D68" s="118"/>
      <c r="E68" s="118">
        <f>SUM(G68:H68,M68:Q68)</f>
        <v>22</v>
      </c>
      <c r="F68" s="119"/>
      <c r="G68" s="132">
        <v>4</v>
      </c>
      <c r="H68" s="11">
        <v>4</v>
      </c>
      <c r="I68" s="154"/>
      <c r="J68" s="144"/>
      <c r="K68" s="144"/>
      <c r="L68" s="155"/>
      <c r="M68" s="117">
        <v>4</v>
      </c>
      <c r="N68" s="118">
        <v>4</v>
      </c>
      <c r="O68" s="118">
        <v>4</v>
      </c>
      <c r="P68" s="118">
        <v>2</v>
      </c>
      <c r="Q68" s="118"/>
      <c r="R68" s="135"/>
      <c r="S68" s="117"/>
      <c r="T68" s="118"/>
      <c r="U68" s="118"/>
      <c r="V68" s="118"/>
      <c r="W68" s="118"/>
      <c r="X68" s="118"/>
      <c r="Y68" s="118"/>
      <c r="Z68" s="118"/>
      <c r="AA68" s="118"/>
      <c r="AB68" s="118"/>
      <c r="AC68" s="118"/>
      <c r="AD68" s="118"/>
      <c r="AE68" s="121"/>
      <c r="AM68" s="12"/>
      <c r="AN68" s="96"/>
      <c r="AO68" s="147"/>
      <c r="AP68" s="147"/>
      <c r="AQ68" s="11"/>
      <c r="AR68" s="11"/>
    </row>
    <row r="69" spans="1:44" s="4" customFormat="1" ht="19.5" thickBot="1">
      <c r="A69" s="126"/>
      <c r="B69" s="127"/>
      <c r="C69" s="122"/>
      <c r="D69" s="123"/>
      <c r="E69" s="123"/>
      <c r="F69" s="124">
        <f>SUM(G69:H69,M69:Q69)</f>
        <v>8</v>
      </c>
      <c r="G69" s="138"/>
      <c r="H69" s="137"/>
      <c r="I69" s="156"/>
      <c r="J69" s="145"/>
      <c r="K69" s="145"/>
      <c r="L69" s="157"/>
      <c r="M69" s="128"/>
      <c r="N69" s="129"/>
      <c r="O69" s="129"/>
      <c r="P69" s="129">
        <v>4</v>
      </c>
      <c r="Q69" s="129">
        <v>4</v>
      </c>
      <c r="R69" s="134"/>
      <c r="S69" s="128"/>
      <c r="T69" s="129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25">
        <v>36</v>
      </c>
      <c r="AM69" s="12"/>
      <c r="AN69" s="96"/>
      <c r="AO69" s="147"/>
      <c r="AP69" s="147"/>
      <c r="AQ69" s="11"/>
      <c r="AR69" s="11"/>
    </row>
    <row r="70" spans="1:44" s="4" customFormat="1" ht="29.25" customHeight="1" thickBot="1">
      <c r="A70" s="143" t="s">
        <v>42</v>
      </c>
      <c r="B70" s="143"/>
      <c r="C70" s="143"/>
      <c r="D70" s="143"/>
      <c r="E70" s="143"/>
      <c r="F70" s="143"/>
      <c r="G70" s="143"/>
      <c r="H70" s="143"/>
      <c r="I70" s="143"/>
      <c r="J70" s="143"/>
      <c r="K70" s="144"/>
      <c r="L70" s="144"/>
      <c r="M70" s="144"/>
      <c r="N70" s="144"/>
      <c r="O70" s="144"/>
      <c r="P70" s="144"/>
      <c r="Q70" s="143"/>
      <c r="R70" s="143"/>
      <c r="S70" s="143"/>
      <c r="T70" s="143"/>
      <c r="U70" s="143"/>
      <c r="V70" s="143"/>
      <c r="W70" s="143"/>
      <c r="X70" s="143"/>
      <c r="Y70" s="143"/>
      <c r="Z70" s="143"/>
      <c r="AA70" s="143"/>
      <c r="AB70" s="143"/>
      <c r="AC70" s="143"/>
      <c r="AD70" s="143"/>
      <c r="AE70" s="143"/>
    </row>
    <row r="71" spans="1:44" s="4" customFormat="1" ht="19.5">
      <c r="A71" s="109">
        <v>10</v>
      </c>
      <c r="B71" s="110" t="s">
        <v>27</v>
      </c>
      <c r="C71" s="111">
        <f>SUM(D71:F73)</f>
        <v>50</v>
      </c>
      <c r="D71" s="112">
        <f>SUM(G71:J71,O71:Q71)</f>
        <v>20</v>
      </c>
      <c r="E71" s="112"/>
      <c r="F71" s="114"/>
      <c r="G71" s="111">
        <v>4</v>
      </c>
      <c r="H71" s="112">
        <v>2</v>
      </c>
      <c r="I71" s="112">
        <v>4</v>
      </c>
      <c r="J71" s="113">
        <v>2</v>
      </c>
      <c r="K71" s="151"/>
      <c r="L71" s="152"/>
      <c r="M71" s="152"/>
      <c r="N71" s="153"/>
      <c r="O71" s="111">
        <v>4</v>
      </c>
      <c r="P71" s="112">
        <v>2</v>
      </c>
      <c r="Q71" s="114">
        <v>2</v>
      </c>
      <c r="R71" s="111"/>
      <c r="S71" s="112"/>
      <c r="T71" s="112"/>
      <c r="U71" s="112"/>
      <c r="V71" s="112"/>
      <c r="W71" s="112"/>
      <c r="X71" s="112"/>
      <c r="Y71" s="112"/>
      <c r="Z71" s="112"/>
      <c r="AA71" s="112"/>
      <c r="AB71" s="112"/>
      <c r="AC71" s="112"/>
      <c r="AD71" s="112"/>
      <c r="AE71" s="114" t="s">
        <v>40</v>
      </c>
      <c r="AM71" s="11"/>
      <c r="AN71" s="11"/>
      <c r="AO71" s="11"/>
      <c r="AP71" s="11"/>
      <c r="AQ71" s="11"/>
      <c r="AR71" s="11"/>
    </row>
    <row r="72" spans="1:44" s="4" customFormat="1">
      <c r="A72" s="115"/>
      <c r="B72" s="116"/>
      <c r="C72" s="117"/>
      <c r="D72" s="118"/>
      <c r="E72" s="118">
        <f>SUM(G72:J72,O72:Q72)</f>
        <v>22</v>
      </c>
      <c r="F72" s="120"/>
      <c r="G72" s="117">
        <v>4</v>
      </c>
      <c r="H72" s="118">
        <v>4</v>
      </c>
      <c r="I72" s="118">
        <v>4</v>
      </c>
      <c r="J72" s="119">
        <v>4</v>
      </c>
      <c r="K72" s="154"/>
      <c r="L72" s="144"/>
      <c r="M72" s="144"/>
      <c r="N72" s="155"/>
      <c r="O72" s="117">
        <v>4</v>
      </c>
      <c r="P72" s="118">
        <v>2</v>
      </c>
      <c r="Q72" s="120"/>
      <c r="R72" s="117"/>
      <c r="S72" s="118"/>
      <c r="T72" s="118"/>
      <c r="U72" s="118"/>
      <c r="V72" s="118"/>
      <c r="W72" s="118"/>
      <c r="X72" s="118"/>
      <c r="Y72" s="118"/>
      <c r="Z72" s="118"/>
      <c r="AA72" s="118"/>
      <c r="AB72" s="118"/>
      <c r="AC72" s="118"/>
      <c r="AD72" s="118"/>
      <c r="AE72" s="121"/>
      <c r="AM72" s="12"/>
      <c r="AN72" s="96"/>
      <c r="AO72" s="147"/>
      <c r="AP72" s="147"/>
      <c r="AQ72" s="11"/>
      <c r="AR72" s="11"/>
    </row>
    <row r="73" spans="1:44" s="4" customFormat="1" ht="19.5" thickBot="1">
      <c r="A73" s="115"/>
      <c r="B73" s="116"/>
      <c r="C73" s="122"/>
      <c r="D73" s="123"/>
      <c r="E73" s="123"/>
      <c r="F73" s="125">
        <f>SUM(G73:J73,O73:Q73)</f>
        <v>8</v>
      </c>
      <c r="G73" s="117"/>
      <c r="H73" s="118"/>
      <c r="I73" s="118"/>
      <c r="J73" s="119"/>
      <c r="K73" s="156"/>
      <c r="L73" s="145"/>
      <c r="M73" s="145"/>
      <c r="N73" s="157"/>
      <c r="O73" s="117"/>
      <c r="P73" s="118">
        <v>4</v>
      </c>
      <c r="Q73" s="120">
        <v>4</v>
      </c>
      <c r="R73" s="117"/>
      <c r="S73" s="118"/>
      <c r="T73" s="118"/>
      <c r="U73" s="118"/>
      <c r="V73" s="118"/>
      <c r="W73" s="118"/>
      <c r="X73" s="118"/>
      <c r="Y73" s="118"/>
      <c r="Z73" s="118"/>
      <c r="AA73" s="118"/>
      <c r="AB73" s="118"/>
      <c r="AC73" s="118"/>
      <c r="AD73" s="118"/>
      <c r="AE73" s="125">
        <v>36</v>
      </c>
      <c r="AM73" s="12"/>
      <c r="AN73" s="96"/>
      <c r="AO73" s="147"/>
      <c r="AP73" s="147"/>
      <c r="AQ73" s="11"/>
      <c r="AR73" s="11"/>
    </row>
    <row r="74" spans="1:44" s="4" customFormat="1" ht="19.5" thickBot="1">
      <c r="A74" s="143" t="s">
        <v>51</v>
      </c>
      <c r="B74" s="143"/>
      <c r="C74" s="143"/>
      <c r="D74" s="143"/>
      <c r="E74" s="143"/>
      <c r="F74" s="143"/>
      <c r="G74" s="143"/>
      <c r="H74" s="143"/>
      <c r="I74" s="143"/>
      <c r="J74" s="143"/>
      <c r="K74" s="144"/>
      <c r="L74" s="144"/>
      <c r="M74" s="144"/>
      <c r="N74" s="144"/>
      <c r="O74" s="144"/>
      <c r="P74" s="144"/>
      <c r="Q74" s="143"/>
      <c r="R74" s="143"/>
      <c r="S74" s="143"/>
      <c r="T74" s="143"/>
      <c r="U74" s="143"/>
      <c r="V74" s="143"/>
      <c r="W74" s="143"/>
      <c r="X74" s="143"/>
      <c r="Y74" s="143"/>
      <c r="Z74" s="143"/>
      <c r="AA74" s="143"/>
      <c r="AB74" s="143"/>
      <c r="AC74" s="143"/>
      <c r="AD74" s="143"/>
      <c r="AE74" s="143"/>
      <c r="AM74" s="12"/>
      <c r="AN74" s="96"/>
      <c r="AO74" s="142"/>
      <c r="AP74" s="142"/>
      <c r="AQ74" s="11"/>
      <c r="AR74" s="11"/>
    </row>
    <row r="75" spans="1:44" s="4" customFormat="1" ht="37.5">
      <c r="A75" s="62">
        <v>10</v>
      </c>
      <c r="B75" s="63" t="s">
        <v>50</v>
      </c>
      <c r="C75" s="64">
        <f t="shared" ref="C75" si="44">SUM(D75:F77)</f>
        <v>72</v>
      </c>
      <c r="D75" s="65">
        <f t="shared" ref="D75" si="45">SUM(G75:AD75)</f>
        <v>36</v>
      </c>
      <c r="E75" s="65"/>
      <c r="F75" s="66"/>
      <c r="G75" s="67">
        <v>2</v>
      </c>
      <c r="H75" s="67">
        <v>2</v>
      </c>
      <c r="I75" s="67">
        <v>2</v>
      </c>
      <c r="J75" s="67">
        <v>2</v>
      </c>
      <c r="K75" s="67">
        <v>2</v>
      </c>
      <c r="L75" s="67">
        <v>2</v>
      </c>
      <c r="M75" s="67">
        <v>2</v>
      </c>
      <c r="N75" s="67">
        <v>2</v>
      </c>
      <c r="O75" s="67">
        <v>2</v>
      </c>
      <c r="P75" s="67">
        <v>2</v>
      </c>
      <c r="Q75" s="67">
        <v>2</v>
      </c>
      <c r="R75" s="67">
        <v>2</v>
      </c>
      <c r="S75" s="67">
        <v>2</v>
      </c>
      <c r="T75" s="67">
        <v>2</v>
      </c>
      <c r="U75" s="67">
        <v>2</v>
      </c>
      <c r="V75" s="67">
        <v>2</v>
      </c>
      <c r="W75" s="67">
        <v>2</v>
      </c>
      <c r="X75" s="67">
        <v>2</v>
      </c>
      <c r="Y75" s="64"/>
      <c r="Z75" s="65"/>
      <c r="AA75" s="65"/>
      <c r="AB75" s="65"/>
      <c r="AC75" s="65"/>
      <c r="AD75" s="65"/>
      <c r="AE75" s="66" t="s">
        <v>19</v>
      </c>
    </row>
    <row r="76" spans="1:44" s="4" customFormat="1" ht="19.5">
      <c r="A76" s="69"/>
      <c r="B76" s="70"/>
      <c r="C76" s="71"/>
      <c r="D76" s="72"/>
      <c r="E76" s="72">
        <f t="shared" ref="E76" si="46">SUM(G76:AD76)</f>
        <v>36</v>
      </c>
      <c r="F76" s="73"/>
      <c r="G76" s="71">
        <v>2</v>
      </c>
      <c r="H76" s="71">
        <v>2</v>
      </c>
      <c r="I76" s="71">
        <v>2</v>
      </c>
      <c r="J76" s="71">
        <v>2</v>
      </c>
      <c r="K76" s="71">
        <v>2</v>
      </c>
      <c r="L76" s="71">
        <v>2</v>
      </c>
      <c r="M76" s="71">
        <v>2</v>
      </c>
      <c r="N76" s="71">
        <v>2</v>
      </c>
      <c r="O76" s="71">
        <v>2</v>
      </c>
      <c r="P76" s="71">
        <v>2</v>
      </c>
      <c r="Q76" s="71">
        <v>2</v>
      </c>
      <c r="R76" s="71">
        <v>2</v>
      </c>
      <c r="S76" s="71">
        <v>2</v>
      </c>
      <c r="T76" s="71">
        <v>2</v>
      </c>
      <c r="U76" s="71">
        <v>2</v>
      </c>
      <c r="V76" s="71">
        <v>2</v>
      </c>
      <c r="W76" s="71">
        <v>2</v>
      </c>
      <c r="X76" s="72">
        <v>2</v>
      </c>
      <c r="Y76" s="71"/>
      <c r="Z76" s="72"/>
      <c r="AA76" s="72"/>
      <c r="AB76" s="72"/>
      <c r="AC76" s="72"/>
      <c r="AD76" s="72"/>
      <c r="AE76" s="76" t="s">
        <v>35</v>
      </c>
    </row>
    <row r="77" spans="1:44" s="4" customFormat="1" ht="21.75" customHeight="1" thickBot="1">
      <c r="A77" s="77"/>
      <c r="B77" s="78"/>
      <c r="C77" s="79"/>
      <c r="D77" s="80"/>
      <c r="E77" s="80"/>
      <c r="F77" s="81">
        <f t="shared" ref="F77" si="47">SUM(G77:AD77)</f>
        <v>0</v>
      </c>
      <c r="G77" s="79"/>
      <c r="H77" s="80"/>
      <c r="I77" s="80"/>
      <c r="J77" s="79"/>
      <c r="K77" s="79"/>
      <c r="L77" s="80"/>
      <c r="M77" s="80"/>
      <c r="N77" s="80"/>
      <c r="O77" s="80"/>
      <c r="P77" s="80"/>
      <c r="Q77" s="79"/>
      <c r="R77" s="79"/>
      <c r="S77" s="80"/>
      <c r="T77" s="80"/>
      <c r="U77" s="80"/>
      <c r="V77" s="80"/>
      <c r="W77" s="80"/>
      <c r="X77" s="80"/>
      <c r="Y77" s="79"/>
      <c r="Z77" s="80"/>
      <c r="AA77" s="80"/>
      <c r="AB77" s="80"/>
      <c r="AC77" s="80"/>
      <c r="AD77" s="80"/>
      <c r="AE77" s="81">
        <v>9</v>
      </c>
      <c r="AM77" s="11"/>
      <c r="AN77" s="11"/>
      <c r="AO77" s="11"/>
      <c r="AP77" s="11"/>
      <c r="AQ77" s="11"/>
      <c r="AR77" s="11"/>
    </row>
    <row r="78" spans="1:44" s="4" customFormat="1" ht="21.75" customHeight="1" thickBot="1">
      <c r="A78" s="143" t="s">
        <v>53</v>
      </c>
      <c r="B78" s="143"/>
      <c r="C78" s="143"/>
      <c r="D78" s="143"/>
      <c r="E78" s="143"/>
      <c r="F78" s="143"/>
      <c r="G78" s="143"/>
      <c r="H78" s="143"/>
      <c r="I78" s="143"/>
      <c r="J78" s="143"/>
      <c r="K78" s="144"/>
      <c r="L78" s="144"/>
      <c r="M78" s="144"/>
      <c r="N78" s="144"/>
      <c r="O78" s="144"/>
      <c r="P78" s="144"/>
      <c r="Q78" s="143"/>
      <c r="R78" s="143"/>
      <c r="S78" s="143"/>
      <c r="T78" s="143"/>
      <c r="U78" s="143"/>
      <c r="V78" s="143"/>
      <c r="W78" s="143"/>
      <c r="X78" s="143"/>
      <c r="Y78" s="143"/>
      <c r="Z78" s="143"/>
      <c r="AA78" s="143"/>
      <c r="AB78" s="143"/>
      <c r="AC78" s="143"/>
      <c r="AD78" s="143"/>
      <c r="AE78" s="143"/>
      <c r="AM78" s="11"/>
      <c r="AN78" s="11"/>
      <c r="AO78" s="11"/>
      <c r="AP78" s="11"/>
      <c r="AQ78" s="11"/>
      <c r="AR78" s="11"/>
    </row>
    <row r="79" spans="1:44" s="4" customFormat="1" ht="37.5">
      <c r="A79" s="62">
        <v>10</v>
      </c>
      <c r="B79" s="63" t="s">
        <v>52</v>
      </c>
      <c r="C79" s="64">
        <f t="shared" ref="C79" si="48">SUM(D79:F81)</f>
        <v>36</v>
      </c>
      <c r="D79" s="65">
        <f t="shared" ref="D79" si="49">SUM(G79:AD79)</f>
        <v>18</v>
      </c>
      <c r="E79" s="65"/>
      <c r="F79" s="66"/>
      <c r="G79" s="67">
        <v>2</v>
      </c>
      <c r="H79" s="67"/>
      <c r="I79" s="67">
        <v>2</v>
      </c>
      <c r="J79" s="67"/>
      <c r="K79" s="67">
        <v>2</v>
      </c>
      <c r="L79" s="67"/>
      <c r="M79" s="67">
        <v>2</v>
      </c>
      <c r="N79" s="67"/>
      <c r="O79" s="67">
        <v>2</v>
      </c>
      <c r="P79" s="67"/>
      <c r="Q79" s="67">
        <v>2</v>
      </c>
      <c r="R79" s="67"/>
      <c r="S79" s="67">
        <v>2</v>
      </c>
      <c r="T79" s="67"/>
      <c r="U79" s="67">
        <v>2</v>
      </c>
      <c r="V79" s="67"/>
      <c r="W79" s="67">
        <v>2</v>
      </c>
      <c r="X79" s="67"/>
      <c r="Y79" s="64"/>
      <c r="Z79" s="65"/>
      <c r="AA79" s="65"/>
      <c r="AB79" s="65"/>
      <c r="AC79" s="65"/>
      <c r="AD79" s="65"/>
      <c r="AE79" s="66" t="s">
        <v>19</v>
      </c>
    </row>
    <row r="80" spans="1:44" s="4" customFormat="1" ht="19.5">
      <c r="A80" s="69"/>
      <c r="B80" s="70"/>
      <c r="C80" s="71"/>
      <c r="D80" s="72"/>
      <c r="E80" s="72">
        <f t="shared" ref="E80" si="50">SUM(G80:AD80)</f>
        <v>18</v>
      </c>
      <c r="F80" s="73"/>
      <c r="G80" s="71"/>
      <c r="H80" s="71">
        <v>2</v>
      </c>
      <c r="I80" s="71"/>
      <c r="J80" s="71">
        <v>2</v>
      </c>
      <c r="K80" s="71"/>
      <c r="L80" s="71">
        <v>2</v>
      </c>
      <c r="M80" s="71"/>
      <c r="N80" s="71">
        <v>2</v>
      </c>
      <c r="O80" s="71"/>
      <c r="P80" s="71">
        <v>2</v>
      </c>
      <c r="Q80" s="71"/>
      <c r="R80" s="71">
        <v>2</v>
      </c>
      <c r="S80" s="71"/>
      <c r="T80" s="71">
        <v>2</v>
      </c>
      <c r="U80" s="71"/>
      <c r="V80" s="71">
        <v>2</v>
      </c>
      <c r="W80" s="71"/>
      <c r="X80" s="72">
        <v>2</v>
      </c>
      <c r="Y80" s="71"/>
      <c r="Z80" s="72"/>
      <c r="AA80" s="72"/>
      <c r="AB80" s="72"/>
      <c r="AC80" s="72"/>
      <c r="AD80" s="72"/>
      <c r="AE80" s="76"/>
    </row>
    <row r="81" spans="1:44" s="4" customFormat="1" ht="21.75" customHeight="1" thickBot="1">
      <c r="A81" s="77"/>
      <c r="B81" s="78"/>
      <c r="C81" s="79"/>
      <c r="D81" s="80"/>
      <c r="E81" s="80"/>
      <c r="F81" s="81">
        <f t="shared" ref="F81" si="51">SUM(G81:AD81)</f>
        <v>0</v>
      </c>
      <c r="G81" s="79"/>
      <c r="H81" s="80"/>
      <c r="I81" s="80"/>
      <c r="J81" s="79"/>
      <c r="K81" s="79"/>
      <c r="L81" s="80"/>
      <c r="M81" s="80"/>
      <c r="N81" s="80"/>
      <c r="O81" s="80"/>
      <c r="P81" s="80"/>
      <c r="Q81" s="79"/>
      <c r="R81" s="79"/>
      <c r="S81" s="80"/>
      <c r="T81" s="80"/>
      <c r="U81" s="80"/>
      <c r="V81" s="80"/>
      <c r="W81" s="80"/>
      <c r="X81" s="80"/>
      <c r="Y81" s="79"/>
      <c r="Z81" s="80"/>
      <c r="AA81" s="80"/>
      <c r="AB81" s="80"/>
      <c r="AC81" s="80"/>
      <c r="AD81" s="80"/>
      <c r="AE81" s="81">
        <v>9</v>
      </c>
      <c r="AM81" s="11"/>
      <c r="AN81" s="11"/>
      <c r="AO81" s="11"/>
      <c r="AP81" s="11"/>
      <c r="AQ81" s="11"/>
      <c r="AR81" s="11"/>
    </row>
    <row r="82" spans="1:44" s="4" customFormat="1" ht="19.5" thickBot="1">
      <c r="A82" s="148" t="s">
        <v>33</v>
      </c>
      <c r="B82" s="149"/>
      <c r="C82" s="149"/>
      <c r="D82" s="149"/>
      <c r="E82" s="149"/>
      <c r="F82" s="149"/>
      <c r="G82" s="149"/>
      <c r="H82" s="149"/>
      <c r="I82" s="149"/>
      <c r="J82" s="149"/>
      <c r="K82" s="149"/>
      <c r="L82" s="149"/>
      <c r="M82" s="149"/>
      <c r="N82" s="149"/>
      <c r="O82" s="149"/>
      <c r="P82" s="149"/>
      <c r="Q82" s="149"/>
      <c r="R82" s="149"/>
      <c r="S82" s="149"/>
      <c r="T82" s="149"/>
      <c r="U82" s="149"/>
      <c r="V82" s="149"/>
      <c r="W82" s="149"/>
      <c r="X82" s="149"/>
      <c r="Y82" s="149"/>
      <c r="Z82" s="149"/>
      <c r="AA82" s="149"/>
      <c r="AB82" s="149"/>
      <c r="AC82" s="149"/>
      <c r="AD82" s="149"/>
      <c r="AE82" s="150"/>
      <c r="AM82" s="12"/>
      <c r="AN82" s="96"/>
      <c r="AO82" s="147"/>
      <c r="AP82" s="147"/>
      <c r="AQ82" s="11"/>
      <c r="AR82" s="11"/>
    </row>
    <row r="83" spans="1:44" s="4" customFormat="1" ht="37.5">
      <c r="A83" s="62">
        <v>10</v>
      </c>
      <c r="B83" s="63" t="s">
        <v>28</v>
      </c>
      <c r="C83" s="64">
        <f>SUM(D83:F85)</f>
        <v>28</v>
      </c>
      <c r="D83" s="65">
        <f>SUM(G83:AD83)</f>
        <v>14</v>
      </c>
      <c r="E83" s="65"/>
      <c r="F83" s="66"/>
      <c r="G83" s="67">
        <v>2</v>
      </c>
      <c r="H83" s="68"/>
      <c r="I83" s="68">
        <v>2</v>
      </c>
      <c r="J83" s="67"/>
      <c r="K83" s="64">
        <v>2</v>
      </c>
      <c r="L83" s="65"/>
      <c r="M83" s="65">
        <v>2</v>
      </c>
      <c r="N83" s="65"/>
      <c r="O83" s="65">
        <v>2</v>
      </c>
      <c r="P83" s="65"/>
      <c r="Q83" s="64">
        <v>2</v>
      </c>
      <c r="R83" s="64"/>
      <c r="S83" s="65">
        <v>2</v>
      </c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6" t="s">
        <v>32</v>
      </c>
    </row>
    <row r="84" spans="1:44" s="4" customFormat="1" ht="19.5">
      <c r="A84" s="69"/>
      <c r="B84" s="70"/>
      <c r="C84" s="71"/>
      <c r="D84" s="72"/>
      <c r="E84" s="72">
        <f>SUM(G84:AD84)</f>
        <v>10</v>
      </c>
      <c r="F84" s="73"/>
      <c r="G84" s="71"/>
      <c r="H84" s="72">
        <v>2</v>
      </c>
      <c r="I84" s="72"/>
      <c r="J84" s="71">
        <v>2</v>
      </c>
      <c r="K84" s="74"/>
      <c r="L84" s="75">
        <v>2</v>
      </c>
      <c r="M84" s="75"/>
      <c r="N84" s="75">
        <v>2</v>
      </c>
      <c r="O84" s="75"/>
      <c r="P84" s="75">
        <v>2</v>
      </c>
      <c r="Q84" s="71"/>
      <c r="R84" s="71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6"/>
    </row>
    <row r="85" spans="1:44" s="4" customFormat="1" ht="21.75" customHeight="1" thickBot="1">
      <c r="A85" s="77"/>
      <c r="B85" s="78"/>
      <c r="C85" s="79"/>
      <c r="D85" s="80"/>
      <c r="E85" s="80"/>
      <c r="F85" s="81">
        <f>SUM(G85:AD85)</f>
        <v>4</v>
      </c>
      <c r="G85" s="79"/>
      <c r="H85" s="80"/>
      <c r="I85" s="80"/>
      <c r="J85" s="79"/>
      <c r="K85" s="79"/>
      <c r="L85" s="80"/>
      <c r="M85" s="80"/>
      <c r="N85" s="80"/>
      <c r="O85" s="80"/>
      <c r="P85" s="80"/>
      <c r="Q85" s="79"/>
      <c r="R85" s="79">
        <v>2</v>
      </c>
      <c r="S85" s="80"/>
      <c r="T85" s="80">
        <v>2</v>
      </c>
      <c r="U85" s="80"/>
      <c r="V85" s="80"/>
      <c r="W85" s="80"/>
      <c r="X85" s="80"/>
      <c r="Y85" s="80"/>
      <c r="Z85" s="80"/>
      <c r="AA85" s="80"/>
      <c r="AB85" s="80"/>
      <c r="AC85" s="80"/>
      <c r="AD85" s="80"/>
      <c r="AE85" s="81">
        <v>36</v>
      </c>
      <c r="AM85" s="11"/>
      <c r="AN85" s="11"/>
      <c r="AO85" s="11"/>
      <c r="AP85" s="11"/>
      <c r="AQ85" s="11"/>
      <c r="AR85" s="11"/>
    </row>
    <row r="86" spans="1:44" s="4" customFormat="1" ht="54.75" customHeight="1" thickBot="1">
      <c r="A86" s="146" t="s">
        <v>44</v>
      </c>
      <c r="B86" s="146"/>
      <c r="C86" s="146"/>
      <c r="D86" s="146"/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146"/>
      <c r="W86" s="146"/>
      <c r="X86" s="146"/>
      <c r="Y86" s="146"/>
      <c r="Z86" s="146"/>
      <c r="AA86" s="146"/>
      <c r="AB86" s="146"/>
      <c r="AC86" s="146"/>
      <c r="AD86" s="146"/>
      <c r="AE86" s="146"/>
      <c r="AM86" s="11"/>
      <c r="AN86" s="11"/>
      <c r="AO86" s="11"/>
      <c r="AP86" s="11"/>
      <c r="AQ86" s="11"/>
      <c r="AR86" s="11"/>
    </row>
    <row r="87" spans="1:44" s="4" customFormat="1" ht="27" customHeight="1" thickBot="1">
      <c r="A87" s="143" t="s">
        <v>43</v>
      </c>
      <c r="B87" s="143"/>
      <c r="C87" s="143"/>
      <c r="D87" s="143"/>
      <c r="E87" s="143"/>
      <c r="F87" s="143"/>
      <c r="G87" s="143"/>
      <c r="H87" s="143"/>
      <c r="I87" s="143"/>
      <c r="J87" s="143"/>
      <c r="K87" s="144"/>
      <c r="L87" s="144"/>
      <c r="M87" s="144"/>
      <c r="N87" s="144"/>
      <c r="O87" s="144"/>
      <c r="P87" s="144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</row>
    <row r="88" spans="1:44" s="4" customFormat="1" ht="19.5">
      <c r="A88" s="109">
        <v>10</v>
      </c>
      <c r="B88" s="110" t="s">
        <v>27</v>
      </c>
      <c r="C88" s="111">
        <f>SUM(D88:F90)</f>
        <v>50</v>
      </c>
      <c r="D88" s="112">
        <f>SUM(G88:P88)</f>
        <v>20</v>
      </c>
      <c r="E88" s="112"/>
      <c r="F88" s="114"/>
      <c r="G88" s="111">
        <v>2</v>
      </c>
      <c r="H88" s="112">
        <v>2</v>
      </c>
      <c r="I88" s="112">
        <v>2</v>
      </c>
      <c r="J88" s="111">
        <v>2</v>
      </c>
      <c r="K88" s="111">
        <v>2</v>
      </c>
      <c r="L88" s="112">
        <v>2</v>
      </c>
      <c r="M88" s="112">
        <v>2</v>
      </c>
      <c r="N88" s="112">
        <v>2</v>
      </c>
      <c r="O88" s="112">
        <v>2</v>
      </c>
      <c r="P88" s="114">
        <v>2</v>
      </c>
      <c r="Q88" s="111"/>
      <c r="R88" s="111"/>
      <c r="S88" s="112"/>
      <c r="T88" s="112"/>
      <c r="U88" s="112"/>
      <c r="V88" s="112"/>
      <c r="W88" s="112"/>
      <c r="X88" s="112"/>
      <c r="Y88" s="112"/>
      <c r="Z88" s="112"/>
      <c r="AA88" s="112"/>
      <c r="AB88" s="112"/>
      <c r="AC88" s="112"/>
      <c r="AD88" s="112"/>
      <c r="AE88" s="114" t="s">
        <v>19</v>
      </c>
      <c r="AM88" s="11"/>
      <c r="AN88" s="11"/>
      <c r="AO88" s="11"/>
      <c r="AP88" s="11"/>
      <c r="AQ88" s="11"/>
      <c r="AR88" s="11"/>
    </row>
    <row r="89" spans="1:44" s="4" customFormat="1">
      <c r="A89" s="115"/>
      <c r="B89" s="116"/>
      <c r="C89" s="117"/>
      <c r="D89" s="118"/>
      <c r="E89" s="118">
        <f>SUM(G89:P89)</f>
        <v>10</v>
      </c>
      <c r="F89" s="120"/>
      <c r="G89" s="117">
        <v>2</v>
      </c>
      <c r="H89" s="118"/>
      <c r="I89" s="118">
        <v>2</v>
      </c>
      <c r="J89" s="117"/>
      <c r="K89" s="139">
        <v>2</v>
      </c>
      <c r="L89" s="118"/>
      <c r="M89" s="118">
        <v>2</v>
      </c>
      <c r="N89" s="118"/>
      <c r="O89" s="118">
        <v>2</v>
      </c>
      <c r="P89" s="120"/>
      <c r="Q89" s="117"/>
      <c r="R89" s="117"/>
      <c r="S89" s="118"/>
      <c r="T89" s="118"/>
      <c r="U89" s="118"/>
      <c r="V89" s="118"/>
      <c r="W89" s="118"/>
      <c r="X89" s="118"/>
      <c r="Y89" s="118"/>
      <c r="Z89" s="118"/>
      <c r="AA89" s="118"/>
      <c r="AB89" s="118"/>
      <c r="AC89" s="118"/>
      <c r="AD89" s="118"/>
      <c r="AE89" s="121"/>
      <c r="AM89" s="12"/>
      <c r="AN89" s="96"/>
      <c r="AO89" s="147"/>
      <c r="AP89" s="147"/>
      <c r="AQ89" s="11"/>
      <c r="AR89" s="11"/>
    </row>
    <row r="90" spans="1:44" s="4" customFormat="1" ht="19.5" thickBot="1">
      <c r="A90" s="140"/>
      <c r="B90" s="127"/>
      <c r="C90" s="122"/>
      <c r="D90" s="123"/>
      <c r="E90" s="123"/>
      <c r="F90" s="125">
        <f>SUM(G90:P90)</f>
        <v>20</v>
      </c>
      <c r="G90" s="122">
        <v>2</v>
      </c>
      <c r="H90" s="123">
        <v>2</v>
      </c>
      <c r="I90" s="123">
        <v>2</v>
      </c>
      <c r="J90" s="122">
        <v>2</v>
      </c>
      <c r="K90" s="128">
        <v>2</v>
      </c>
      <c r="L90" s="129">
        <v>2</v>
      </c>
      <c r="M90" s="129">
        <v>2</v>
      </c>
      <c r="N90" s="129">
        <v>2</v>
      </c>
      <c r="O90" s="129">
        <v>2</v>
      </c>
      <c r="P90" s="130">
        <v>2</v>
      </c>
      <c r="Q90" s="128"/>
      <c r="R90" s="128"/>
      <c r="S90" s="129"/>
      <c r="T90" s="129"/>
      <c r="U90" s="129"/>
      <c r="V90" s="129"/>
      <c r="W90" s="129"/>
      <c r="X90" s="129"/>
      <c r="Y90" s="129"/>
      <c r="Z90" s="129"/>
      <c r="AA90" s="129"/>
      <c r="AB90" s="129"/>
      <c r="AC90" s="129"/>
      <c r="AD90" s="129"/>
      <c r="AE90" s="125">
        <v>9</v>
      </c>
      <c r="AM90" s="12"/>
      <c r="AN90" s="96"/>
      <c r="AO90" s="147"/>
      <c r="AP90" s="147"/>
      <c r="AQ90" s="11"/>
      <c r="AR90" s="11"/>
    </row>
  </sheetData>
  <mergeCells count="59">
    <mergeCell ref="A1:AD1"/>
    <mergeCell ref="A2:AD2"/>
    <mergeCell ref="H3:AK3"/>
    <mergeCell ref="C5:F6"/>
    <mergeCell ref="A5:A12"/>
    <mergeCell ref="B5:B12"/>
    <mergeCell ref="C7:C12"/>
    <mergeCell ref="I5:L5"/>
    <mergeCell ref="Z5:AC5"/>
    <mergeCell ref="D8:D12"/>
    <mergeCell ref="E8:E12"/>
    <mergeCell ref="F8:F12"/>
    <mergeCell ref="D7:F7"/>
    <mergeCell ref="U5:X5"/>
    <mergeCell ref="AE5:AE12"/>
    <mergeCell ref="A3:C3"/>
    <mergeCell ref="G5:H5"/>
    <mergeCell ref="A14:AE14"/>
    <mergeCell ref="AO55:AP55"/>
    <mergeCell ref="AO47:AP47"/>
    <mergeCell ref="A22:AE22"/>
    <mergeCell ref="A40:AE40"/>
    <mergeCell ref="L13:AO13"/>
    <mergeCell ref="A15:AE15"/>
    <mergeCell ref="AO42:AP42"/>
    <mergeCell ref="AO43:AP43"/>
    <mergeCell ref="A44:AE44"/>
    <mergeCell ref="A53:AE53"/>
    <mergeCell ref="A48:AE48"/>
    <mergeCell ref="A36:AE36"/>
    <mergeCell ref="AO46:AP46"/>
    <mergeCell ref="AO51:AP51"/>
    <mergeCell ref="AO90:AP90"/>
    <mergeCell ref="AO82:AP82"/>
    <mergeCell ref="A57:AE57"/>
    <mergeCell ref="A62:AE62"/>
    <mergeCell ref="A61:AE61"/>
    <mergeCell ref="A70:AE70"/>
    <mergeCell ref="A82:AE82"/>
    <mergeCell ref="AO72:AP72"/>
    <mergeCell ref="AO73:AP73"/>
    <mergeCell ref="K71:N73"/>
    <mergeCell ref="AO69:AP69"/>
    <mergeCell ref="I67:L69"/>
    <mergeCell ref="AO64:AP64"/>
    <mergeCell ref="AO65:AP65"/>
    <mergeCell ref="G63:J65"/>
    <mergeCell ref="R63:R65"/>
    <mergeCell ref="A74:AE74"/>
    <mergeCell ref="A29:AE29"/>
    <mergeCell ref="A87:AE87"/>
    <mergeCell ref="A86:AE86"/>
    <mergeCell ref="AO89:AP89"/>
    <mergeCell ref="AO56:AP56"/>
    <mergeCell ref="AO52:AP52"/>
    <mergeCell ref="A49:AE49"/>
    <mergeCell ref="AO68:AP68"/>
    <mergeCell ref="A66:AE66"/>
    <mergeCell ref="A78:AE78"/>
  </mergeCells>
  <conditionalFormatting sqref="A60 A77">
    <cfRule type="expression" dxfId="59" priority="43" stopIfTrue="1">
      <formula>$DB56=1</formula>
    </cfRule>
  </conditionalFormatting>
  <conditionalFormatting sqref="A60:B60 A77:B77">
    <cfRule type="expression" dxfId="58" priority="44" stopIfTrue="1">
      <formula>$CV56&gt;0</formula>
    </cfRule>
    <cfRule type="expression" dxfId="57" priority="45" stopIfTrue="1">
      <formula>$CU56&gt;0</formula>
    </cfRule>
  </conditionalFormatting>
  <conditionalFormatting sqref="A60">
    <cfRule type="expression" dxfId="56" priority="42" stopIfTrue="1">
      <formula>$DB56=1</formula>
    </cfRule>
  </conditionalFormatting>
  <conditionalFormatting sqref="A60:B60 A77:B77">
    <cfRule type="expression" dxfId="55" priority="40" stopIfTrue="1">
      <formula>$CV56&gt;0</formula>
    </cfRule>
    <cfRule type="expression" dxfId="54" priority="41" stopIfTrue="1">
      <formula>$CU56&gt;0</formula>
    </cfRule>
  </conditionalFormatting>
  <conditionalFormatting sqref="A60 A77">
    <cfRule type="expression" dxfId="53" priority="39" stopIfTrue="1">
      <formula>$DC56=1</formula>
    </cfRule>
  </conditionalFormatting>
  <conditionalFormatting sqref="A60:B60 A77:B77">
    <cfRule type="expression" dxfId="52" priority="37" stopIfTrue="1">
      <formula>$CW56&gt;0</formula>
    </cfRule>
    <cfRule type="expression" dxfId="51" priority="38" stopIfTrue="1">
      <formula>$CV56&gt;0</formula>
    </cfRule>
  </conditionalFormatting>
  <conditionalFormatting sqref="A85">
    <cfRule type="expression" dxfId="50" priority="34" stopIfTrue="1">
      <formula>$DB61=1</formula>
    </cfRule>
  </conditionalFormatting>
  <conditionalFormatting sqref="A85:B85">
    <cfRule type="expression" dxfId="49" priority="35" stopIfTrue="1">
      <formula>$CV61&gt;0</formula>
    </cfRule>
    <cfRule type="expression" dxfId="48" priority="36" stopIfTrue="1">
      <formula>$CU61&gt;0</formula>
    </cfRule>
  </conditionalFormatting>
  <conditionalFormatting sqref="A85">
    <cfRule type="expression" dxfId="47" priority="33" stopIfTrue="1">
      <formula>$DB61=1</formula>
    </cfRule>
  </conditionalFormatting>
  <conditionalFormatting sqref="A85:B85">
    <cfRule type="expression" dxfId="46" priority="31" stopIfTrue="1">
      <formula>$CV61&gt;0</formula>
    </cfRule>
    <cfRule type="expression" dxfId="45" priority="32" stopIfTrue="1">
      <formula>$CU61&gt;0</formula>
    </cfRule>
  </conditionalFormatting>
  <conditionalFormatting sqref="A85">
    <cfRule type="expression" dxfId="44" priority="30" stopIfTrue="1">
      <formula>$DC61=1</formula>
    </cfRule>
  </conditionalFormatting>
  <conditionalFormatting sqref="A85:B85">
    <cfRule type="expression" dxfId="43" priority="28" stopIfTrue="1">
      <formula>$CW61&gt;0</formula>
    </cfRule>
    <cfRule type="expression" dxfId="42" priority="29" stopIfTrue="1">
      <formula>$CV61&gt;0</formula>
    </cfRule>
  </conditionalFormatting>
  <conditionalFormatting sqref="A81">
    <cfRule type="expression" dxfId="41" priority="47" stopIfTrue="1">
      <formula>$DB74=1</formula>
    </cfRule>
  </conditionalFormatting>
  <conditionalFormatting sqref="A81:B81">
    <cfRule type="expression" dxfId="40" priority="50" stopIfTrue="1">
      <formula>$CV74&gt;0</formula>
    </cfRule>
    <cfRule type="expression" dxfId="39" priority="51" stopIfTrue="1">
      <formula>$CU74&gt;0</formula>
    </cfRule>
  </conditionalFormatting>
  <conditionalFormatting sqref="A81:B81">
    <cfRule type="expression" dxfId="38" priority="56" stopIfTrue="1">
      <formula>$CV74&gt;0</formula>
    </cfRule>
    <cfRule type="expression" dxfId="37" priority="57" stopIfTrue="1">
      <formula>$CU74&gt;0</formula>
    </cfRule>
  </conditionalFormatting>
  <conditionalFormatting sqref="A81">
    <cfRule type="expression" dxfId="36" priority="59" stopIfTrue="1">
      <formula>$DC74=1</formula>
    </cfRule>
  </conditionalFormatting>
  <conditionalFormatting sqref="A81:B81">
    <cfRule type="expression" dxfId="35" priority="62" stopIfTrue="1">
      <formula>$CW74&gt;0</formula>
    </cfRule>
    <cfRule type="expression" dxfId="34" priority="63" stopIfTrue="1">
      <formula>$CV74&gt;0</formula>
    </cfRule>
  </conditionalFormatting>
  <conditionalFormatting sqref="A80">
    <cfRule type="expression" dxfId="33" priority="65" stopIfTrue="1">
      <formula>$DB74=1</formula>
    </cfRule>
  </conditionalFormatting>
  <conditionalFormatting sqref="A80:B80">
    <cfRule type="expression" dxfId="32" priority="68" stopIfTrue="1">
      <formula>$CV74&gt;0</formula>
    </cfRule>
    <cfRule type="expression" dxfId="31" priority="69" stopIfTrue="1">
      <formula>$CU74&gt;0</formula>
    </cfRule>
  </conditionalFormatting>
  <conditionalFormatting sqref="A80:B80">
    <cfRule type="expression" dxfId="30" priority="72" stopIfTrue="1">
      <formula>$CV74&gt;0</formula>
    </cfRule>
    <cfRule type="expression" dxfId="29" priority="73" stopIfTrue="1">
      <formula>$CU74&gt;0</formula>
    </cfRule>
  </conditionalFormatting>
  <conditionalFormatting sqref="A80">
    <cfRule type="expression" dxfId="28" priority="75" stopIfTrue="1">
      <formula>$DC74=1</formula>
    </cfRule>
  </conditionalFormatting>
  <conditionalFormatting sqref="A80:B80">
    <cfRule type="expression" dxfId="27" priority="78" stopIfTrue="1">
      <formula>$CW74&gt;0</formula>
    </cfRule>
    <cfRule type="expression" dxfId="26" priority="79" stopIfTrue="1">
      <formula>$CV74&gt;0</formula>
    </cfRule>
  </conditionalFormatting>
  <conditionalFormatting sqref="A79">
    <cfRule type="expression" dxfId="25" priority="81" stopIfTrue="1">
      <formula>$DB74=1</formula>
    </cfRule>
  </conditionalFormatting>
  <conditionalFormatting sqref="A79:B79">
    <cfRule type="expression" dxfId="24" priority="84" stopIfTrue="1">
      <formula>$CV74&gt;0</formula>
    </cfRule>
    <cfRule type="expression" dxfId="23" priority="85" stopIfTrue="1">
      <formula>$CU74&gt;0</formula>
    </cfRule>
  </conditionalFormatting>
  <conditionalFormatting sqref="A79:B79">
    <cfRule type="expression" dxfId="22" priority="88" stopIfTrue="1">
      <formula>$CV74&gt;0</formula>
    </cfRule>
    <cfRule type="expression" dxfId="21" priority="89" stopIfTrue="1">
      <formula>$CU74&gt;0</formula>
    </cfRule>
  </conditionalFormatting>
  <conditionalFormatting sqref="A79">
    <cfRule type="expression" dxfId="20" priority="91" stopIfTrue="1">
      <formula>$DC74=1</formula>
    </cfRule>
  </conditionalFormatting>
  <conditionalFormatting sqref="A79:B79">
    <cfRule type="expression" dxfId="19" priority="94" stopIfTrue="1">
      <formula>$CW74&gt;0</formula>
    </cfRule>
    <cfRule type="expression" dxfId="18" priority="95" stopIfTrue="1">
      <formula>$CV74&gt;0</formula>
    </cfRule>
  </conditionalFormatting>
  <conditionalFormatting sqref="A81">
    <cfRule type="expression" dxfId="17" priority="9" stopIfTrue="1">
      <formula>$DB77=1</formula>
    </cfRule>
  </conditionalFormatting>
  <conditionalFormatting sqref="A81:B81">
    <cfRule type="expression" dxfId="15" priority="7" stopIfTrue="1">
      <formula>$CV77&gt;0</formula>
    </cfRule>
    <cfRule type="expression" dxfId="14" priority="8" stopIfTrue="1">
      <formula>$CU77&gt;0</formula>
    </cfRule>
  </conditionalFormatting>
  <conditionalFormatting sqref="A81">
    <cfRule type="expression" dxfId="11" priority="6" stopIfTrue="1">
      <formula>$DB77=1</formula>
    </cfRule>
  </conditionalFormatting>
  <conditionalFormatting sqref="A81:B81">
    <cfRule type="expression" dxfId="9" priority="4" stopIfTrue="1">
      <formula>$CV77&gt;0</formula>
    </cfRule>
    <cfRule type="expression" dxfId="8" priority="5" stopIfTrue="1">
      <formula>$CU77&gt;0</formula>
    </cfRule>
  </conditionalFormatting>
  <conditionalFormatting sqref="A81">
    <cfRule type="expression" dxfId="5" priority="3" stopIfTrue="1">
      <formula>$DC77=1</formula>
    </cfRule>
  </conditionalFormatting>
  <conditionalFormatting sqref="A81:B81">
    <cfRule type="expression" dxfId="3" priority="1" stopIfTrue="1">
      <formula>$CW77&gt;0</formula>
    </cfRule>
    <cfRule type="expression" dxfId="2" priority="2" stopIfTrue="1">
      <formula>$CV77&gt;0</formula>
    </cfRule>
  </conditionalFormatting>
  <pageMargins left="0.11811023622047245" right="0.11811023622047245" top="0.74803149606299213" bottom="0.15748031496062992" header="0.11811023622047245" footer="0.11811023622047245"/>
  <pageSetup paperSize="9" scale="6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topLeftCell="A13"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Лист1</vt:lpstr>
      <vt:lpstr>Лист2</vt:lpstr>
      <vt:lpstr>Лист3</vt:lpstr>
      <vt:lpstr>Лист1!Заголовки_для_печати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Пользователь</cp:lastModifiedBy>
  <cp:lastPrinted>2021-10-06T09:01:46Z</cp:lastPrinted>
  <dcterms:created xsi:type="dcterms:W3CDTF">2015-02-10T13:27:18Z</dcterms:created>
  <dcterms:modified xsi:type="dcterms:W3CDTF">2021-10-27T11:37:44Z</dcterms:modified>
</cp:coreProperties>
</file>