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25200" windowHeight="11385"/>
  </bookViews>
  <sheets>
    <sheet name="Лист1" sheetId="1" r:id="rId1"/>
    <sheet name="Лист2" sheetId="2" r:id="rId2"/>
    <sheet name="Лист3" sheetId="3" r:id="rId3"/>
  </sheets>
  <definedNames>
    <definedName name="_xlnm.Print_Titles" localSheetId="0">Лист1!$5:$12</definedName>
  </definedNames>
  <calcPr calcId="125725" refMode="R1C1"/>
</workbook>
</file>

<file path=xl/calcChain.xml><?xml version="1.0" encoding="utf-8"?>
<calcChain xmlns="http://schemas.openxmlformats.org/spreadsheetml/2006/main">
  <c r="F143" i="1"/>
  <c r="E142"/>
  <c r="D141"/>
  <c r="C141" s="1"/>
  <c r="F18"/>
  <c r="E17"/>
  <c r="D16"/>
  <c r="C16" s="1"/>
  <c r="F139"/>
  <c r="E138"/>
  <c r="D137"/>
  <c r="C137" l="1"/>
  <c r="F135"/>
  <c r="E134"/>
  <c r="D133"/>
  <c r="C133" l="1"/>
  <c r="F131"/>
  <c r="E130"/>
  <c r="D129"/>
  <c r="C129" l="1"/>
  <c r="F170"/>
  <c r="E169"/>
  <c r="D168"/>
  <c r="F167"/>
  <c r="E166"/>
  <c r="D165"/>
  <c r="E163"/>
  <c r="D162"/>
  <c r="E160"/>
  <c r="D159"/>
  <c r="E157"/>
  <c r="D156"/>
  <c r="E154"/>
  <c r="D153"/>
  <c r="C153" l="1"/>
  <c r="C159"/>
  <c r="C165"/>
  <c r="C168"/>
  <c r="C156"/>
  <c r="C162"/>
  <c r="F151"/>
  <c r="E150"/>
  <c r="D149"/>
  <c r="C149" l="1"/>
  <c r="F147"/>
  <c r="E146"/>
  <c r="D145"/>
  <c r="C145" l="1"/>
  <c r="F126"/>
  <c r="E125"/>
  <c r="D124"/>
  <c r="F123"/>
  <c r="E122"/>
  <c r="D121"/>
  <c r="F120"/>
  <c r="E119"/>
  <c r="D118"/>
  <c r="F117"/>
  <c r="E116"/>
  <c r="D115"/>
  <c r="F114"/>
  <c r="E113"/>
  <c r="D112"/>
  <c r="F111"/>
  <c r="E110"/>
  <c r="D109"/>
  <c r="F108"/>
  <c r="E107"/>
  <c r="D106"/>
  <c r="C106" l="1"/>
  <c r="C118"/>
  <c r="C109"/>
  <c r="C121"/>
  <c r="C112"/>
  <c r="C124"/>
  <c r="C115"/>
  <c r="F104"/>
  <c r="E103"/>
  <c r="D102"/>
  <c r="C102" l="1"/>
  <c r="F100"/>
  <c r="E99"/>
  <c r="D98"/>
  <c r="C98" l="1"/>
  <c r="F96"/>
  <c r="E95"/>
  <c r="D94"/>
  <c r="C94" l="1"/>
  <c r="F91"/>
  <c r="E90"/>
  <c r="D89"/>
  <c r="F88"/>
  <c r="E87"/>
  <c r="D86"/>
  <c r="F85"/>
  <c r="E84"/>
  <c r="D83"/>
  <c r="F82"/>
  <c r="E81"/>
  <c r="D80"/>
  <c r="F79"/>
  <c r="E78"/>
  <c r="D77"/>
  <c r="F76"/>
  <c r="E75"/>
  <c r="D74"/>
  <c r="F73"/>
  <c r="E72"/>
  <c r="D71"/>
  <c r="F70"/>
  <c r="E69"/>
  <c r="D68"/>
  <c r="F67"/>
  <c r="E66"/>
  <c r="D65"/>
  <c r="C71" l="1"/>
  <c r="C83"/>
  <c r="C74"/>
  <c r="C68"/>
  <c r="C80"/>
  <c r="C86"/>
  <c r="C65"/>
  <c r="C77"/>
  <c r="C89"/>
  <c r="F63"/>
  <c r="E62"/>
  <c r="D61"/>
  <c r="C61" l="1"/>
  <c r="F59"/>
  <c r="E58"/>
  <c r="D57"/>
  <c r="C57" l="1"/>
  <c r="F55"/>
  <c r="E54"/>
  <c r="D53"/>
  <c r="C53" l="1"/>
  <c r="F51"/>
  <c r="E50"/>
  <c r="D49"/>
  <c r="C49" l="1"/>
  <c r="E45"/>
  <c r="D44"/>
  <c r="E42"/>
  <c r="D41"/>
  <c r="C41" s="1"/>
  <c r="E39"/>
  <c r="D38"/>
  <c r="F37"/>
  <c r="E36"/>
  <c r="D35"/>
  <c r="F34"/>
  <c r="E33"/>
  <c r="D32"/>
  <c r="F30"/>
  <c r="E29"/>
  <c r="D28"/>
  <c r="C28" l="1"/>
  <c r="C32"/>
  <c r="C38"/>
  <c r="C35"/>
  <c r="C44"/>
  <c r="F26"/>
  <c r="E25"/>
  <c r="D24"/>
  <c r="C24" l="1"/>
  <c r="F22"/>
  <c r="E21"/>
  <c r="D20"/>
  <c r="C20" l="1"/>
</calcChain>
</file>

<file path=xl/sharedStrings.xml><?xml version="1.0" encoding="utf-8"?>
<sst xmlns="http://schemas.openxmlformats.org/spreadsheetml/2006/main" count="140" uniqueCount="80">
  <si>
    <t>Наименование дисциплины</t>
  </si>
  <si>
    <t>№ кафедры</t>
  </si>
  <si>
    <t>Всего</t>
  </si>
  <si>
    <t>в т.ч</t>
  </si>
  <si>
    <t>Количество аудиторных часов</t>
  </si>
  <si>
    <t>Выходной контроль</t>
  </si>
  <si>
    <t>лекции</t>
  </si>
  <si>
    <t>практики</t>
  </si>
  <si>
    <t>лабораторные работы</t>
  </si>
  <si>
    <t>Январь</t>
  </si>
  <si>
    <t xml:space="preserve">  Ф е в р а л ь   </t>
  </si>
  <si>
    <t xml:space="preserve">            М а р т            </t>
  </si>
  <si>
    <t xml:space="preserve"> А п р е л ь</t>
  </si>
  <si>
    <t>М а й</t>
  </si>
  <si>
    <t>И ю н ь</t>
  </si>
  <si>
    <t xml:space="preserve">                     Учебная сетка</t>
  </si>
  <si>
    <t xml:space="preserve">                     Весенний семестр  2021/2022 учебный год</t>
  </si>
  <si>
    <t xml:space="preserve">               1 КУРС</t>
  </si>
  <si>
    <t>Зачет</t>
  </si>
  <si>
    <t>Экзамен</t>
  </si>
  <si>
    <t xml:space="preserve">               2 КУРС</t>
  </si>
  <si>
    <t xml:space="preserve">Экзамен </t>
  </si>
  <si>
    <t>Дифф. зачет</t>
  </si>
  <si>
    <t xml:space="preserve">Дифф.зачет </t>
  </si>
  <si>
    <t xml:space="preserve">               3 КУРС</t>
  </si>
  <si>
    <t>КР</t>
  </si>
  <si>
    <t>Дифф.зачет</t>
  </si>
  <si>
    <t>факультатив</t>
  </si>
  <si>
    <t xml:space="preserve">               4 КУРС</t>
  </si>
  <si>
    <t xml:space="preserve">                                       Дисциплины 399 (ОБПрВТ)</t>
  </si>
  <si>
    <t xml:space="preserve">                                       Дисциплины 281, 282 (ОПУВТ)</t>
  </si>
  <si>
    <t xml:space="preserve">                                       Дисциплины 382, 382а (ТЛ)</t>
  </si>
  <si>
    <t xml:space="preserve">                                       Дисциплины 312 (ТЛ)</t>
  </si>
  <si>
    <t>Научно-исследовательская работа обучающегося</t>
  </si>
  <si>
    <t xml:space="preserve">                                            Кафедра № 33</t>
  </si>
  <si>
    <t>Дисциплины кафедры № 33</t>
  </si>
  <si>
    <t>Транспортное право</t>
  </si>
  <si>
    <t xml:space="preserve">                                       Дисциплины 211, 212 (ОПУВТ)</t>
  </si>
  <si>
    <t>Правовое обеспечение деятельности системы воздушного транспорта</t>
  </si>
  <si>
    <t>Дифф.Зачет</t>
  </si>
  <si>
    <t xml:space="preserve">                                       Дисциплины 310 (МПОСУ)</t>
  </si>
  <si>
    <t>Теория государства и права</t>
  </si>
  <si>
    <t>Конституционное право</t>
  </si>
  <si>
    <t>Административное право</t>
  </si>
  <si>
    <t>История политических и правовых учений</t>
  </si>
  <si>
    <t>Профессиональная этика юриста</t>
  </si>
  <si>
    <t xml:space="preserve">                                       Дисциплины 414 (ПрОСВТ)</t>
  </si>
  <si>
    <t>Воздушное право</t>
  </si>
  <si>
    <t xml:space="preserve">                                       Дисциплины 205 (ОРТОП)</t>
  </si>
  <si>
    <t xml:space="preserve">                                       Дисциплины 301 (АСУВД)</t>
  </si>
  <si>
    <t>Договорное право</t>
  </si>
  <si>
    <t xml:space="preserve">                                       Дисциплины 306 (ООТБ)</t>
  </si>
  <si>
    <t>Трудовое право</t>
  </si>
  <si>
    <t xml:space="preserve">                                       Дисциплины 308 (УПО)</t>
  </si>
  <si>
    <t>Гражданское право</t>
  </si>
  <si>
    <t>Уголовное право</t>
  </si>
  <si>
    <t>Международное право</t>
  </si>
  <si>
    <t>Криминалистика</t>
  </si>
  <si>
    <t>Таможенное право</t>
  </si>
  <si>
    <t>Права человека</t>
  </si>
  <si>
    <t xml:space="preserve">                                       Дисциплины 404 (ПрОСВТ)</t>
  </si>
  <si>
    <t xml:space="preserve">                                       Дисциплины 393 (ОАБ)</t>
  </si>
  <si>
    <t>Правовое обеспечение транспортной безопасности</t>
  </si>
  <si>
    <t xml:space="preserve">                                       Дисциплины 396 (ООТБ)</t>
  </si>
  <si>
    <t>Уголовный процесс</t>
  </si>
  <si>
    <t>Налоговое право</t>
  </si>
  <si>
    <t>Международное частное право</t>
  </si>
  <si>
    <t xml:space="preserve">                                       Дисциплины 494 (ПрОСВТ)</t>
  </si>
  <si>
    <t>Гражданский процесс</t>
  </si>
  <si>
    <t>Финансовое право</t>
  </si>
  <si>
    <t>Криминология</t>
  </si>
  <si>
    <t>Семейное право</t>
  </si>
  <si>
    <t>Нотариат</t>
  </si>
  <si>
    <t>Международное воздушное право</t>
  </si>
  <si>
    <t xml:space="preserve">                                       Дисциплины 483 (ПрОСВТ)</t>
  </si>
  <si>
    <t>Дисциплины  183 (ЛЭГВС)</t>
  </si>
  <si>
    <t>Дисциплины  184 (ЛЭГВС)</t>
  </si>
  <si>
    <t>Дисциплины  184а (ЛЭГВС)</t>
  </si>
  <si>
    <t xml:space="preserve">                                       Дисциплины 115,116,117 (ОрВД)</t>
  </si>
  <si>
    <t>Дисциплины  188,189 (ОрАНО)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</si>
</sst>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charset val="204"/>
      <scheme val="minor"/>
    </font>
    <font>
      <sz val="8"/>
      <color indexed="8"/>
      <name val="Tahoma"/>
      <family val="2"/>
      <charset val="204"/>
    </font>
    <font>
      <b/>
      <sz val="14"/>
      <name val="Times New Roman"/>
      <family val="1"/>
      <charset val="204"/>
    </font>
    <font>
      <sz val="14"/>
      <name val="Times New Roman"/>
      <family val="1"/>
      <charset val="204"/>
    </font>
    <font>
      <b/>
      <i/>
      <sz val="14"/>
      <name val="Times New Roman"/>
      <family val="1"/>
      <charset val="204"/>
    </font>
    <font>
      <sz val="12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3.5"/>
      <name val="Times New Roman"/>
      <family val="1"/>
      <charset val="204"/>
    </font>
    <font>
      <b/>
      <sz val="13.5"/>
      <name val="Times New Roman Cyr"/>
      <family val="1"/>
      <charset val="204"/>
    </font>
    <font>
      <sz val="13.5"/>
      <name val="Times New Roman Cyr"/>
      <charset val="204"/>
    </font>
    <font>
      <sz val="9"/>
      <color indexed="8"/>
      <name val="Tahoma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193">
    <xf numFmtId="0" fontId="0" fillId="0" borderId="0" xfId="0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Fill="1" applyAlignment="1">
      <alignment wrapText="1"/>
    </xf>
    <xf numFmtId="0" fontId="10" fillId="2" borderId="35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10" fillId="2" borderId="36" xfId="0" applyFont="1" applyFill="1" applyBorder="1" applyAlignment="1">
      <alignment horizontal="center" vertical="center"/>
    </xf>
    <xf numFmtId="0" fontId="10" fillId="2" borderId="22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wrapText="1"/>
    </xf>
    <xf numFmtId="49" fontId="11" fillId="0" borderId="0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0" fillId="0" borderId="24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9" fillId="3" borderId="39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30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3" borderId="26" xfId="0" applyFont="1" applyFill="1" applyBorder="1" applyAlignment="1">
      <alignment horizontal="center" vertical="center"/>
    </xf>
    <xf numFmtId="0" fontId="9" fillId="3" borderId="40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41" xfId="0" applyFont="1" applyFill="1" applyBorder="1" applyAlignment="1">
      <alignment horizontal="center" vertical="center"/>
    </xf>
    <xf numFmtId="0" fontId="9" fillId="3" borderId="4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33" xfId="0" applyFont="1" applyFill="1" applyBorder="1" applyAlignment="1">
      <alignment horizontal="center" vertical="center"/>
    </xf>
    <xf numFmtId="0" fontId="9" fillId="3" borderId="32" xfId="0" applyFont="1" applyFill="1" applyBorder="1" applyAlignment="1">
      <alignment horizontal="center" vertical="center"/>
    </xf>
    <xf numFmtId="0" fontId="9" fillId="3" borderId="16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  <xf numFmtId="0" fontId="10" fillId="0" borderId="26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9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horizontal="center" vertical="center"/>
    </xf>
    <xf numFmtId="0" fontId="9" fillId="3" borderId="45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9" fillId="4" borderId="3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vertical="center"/>
    </xf>
    <xf numFmtId="0" fontId="9" fillId="2" borderId="22" xfId="0" applyFont="1" applyFill="1" applyBorder="1" applyAlignment="1">
      <alignment vertical="center"/>
    </xf>
    <xf numFmtId="0" fontId="9" fillId="2" borderId="23" xfId="0" applyFont="1" applyFill="1" applyBorder="1" applyAlignment="1">
      <alignment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44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2" borderId="48" xfId="0" applyFont="1" applyFill="1" applyBorder="1" applyAlignment="1">
      <alignment horizontal="center" vertical="center"/>
    </xf>
    <xf numFmtId="0" fontId="4" fillId="3" borderId="8" xfId="0" applyFont="1" applyFill="1" applyBorder="1" applyAlignment="1" applyProtection="1">
      <alignment horizontal="center" vertical="center" wrapText="1" shrinkToFit="1"/>
    </xf>
    <xf numFmtId="49" fontId="3" fillId="3" borderId="7" xfId="0" applyNumberFormat="1" applyFont="1" applyFill="1" applyBorder="1" applyAlignment="1" applyProtection="1">
      <alignment horizontal="left" vertical="top" wrapText="1"/>
    </xf>
    <xf numFmtId="0" fontId="3" fillId="3" borderId="13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49" xfId="0" applyFont="1" applyFill="1" applyBorder="1" applyAlignment="1">
      <alignment horizontal="center" vertical="center" wrapText="1"/>
    </xf>
    <xf numFmtId="0" fontId="3" fillId="3" borderId="50" xfId="0" applyFont="1" applyFill="1" applyBorder="1" applyAlignment="1">
      <alignment horizontal="center" vertical="center" wrapText="1"/>
    </xf>
    <xf numFmtId="1" fontId="4" fillId="3" borderId="9" xfId="0" applyNumberFormat="1" applyFont="1" applyFill="1" applyBorder="1" applyAlignment="1" applyProtection="1">
      <alignment horizontal="center" vertical="center" wrapText="1" shrinkToFit="1"/>
    </xf>
    <xf numFmtId="49" fontId="3" fillId="3" borderId="10" xfId="0" applyNumberFormat="1" applyFont="1" applyFill="1" applyBorder="1" applyAlignment="1" applyProtection="1">
      <alignment horizontal="left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31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 applyProtection="1">
      <alignment horizontal="center" vertical="center" wrapText="1" shrinkToFit="1"/>
    </xf>
    <xf numFmtId="49" fontId="3" fillId="3" borderId="16" xfId="0" applyNumberFormat="1" applyFont="1" applyFill="1" applyBorder="1" applyAlignment="1" applyProtection="1">
      <alignment horizontal="left" vertical="center" wrapText="1"/>
    </xf>
    <xf numFmtId="0" fontId="3" fillId="3" borderId="14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1" fontId="6" fillId="3" borderId="8" xfId="0" applyNumberFormat="1" applyFont="1" applyFill="1" applyBorder="1" applyAlignment="1" applyProtection="1">
      <alignment horizontal="center" vertical="center" wrapText="1" shrinkToFit="1"/>
    </xf>
    <xf numFmtId="49" fontId="7" fillId="3" borderId="7" xfId="0" applyNumberFormat="1" applyFont="1" applyFill="1" applyBorder="1" applyAlignment="1" applyProtection="1">
      <alignment horizontal="left" vertical="top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wrapText="1"/>
    </xf>
    <xf numFmtId="0" fontId="3" fillId="3" borderId="37" xfId="0" applyFont="1" applyFill="1" applyBorder="1" applyAlignment="1">
      <alignment horizontal="center" vertical="center" wrapText="1"/>
    </xf>
    <xf numFmtId="0" fontId="3" fillId="3" borderId="18" xfId="0" applyFont="1" applyFill="1" applyBorder="1" applyAlignment="1">
      <alignment horizontal="center" vertical="center" wrapText="1"/>
    </xf>
    <xf numFmtId="0" fontId="7" fillId="3" borderId="43" xfId="0" applyFont="1" applyFill="1" applyBorder="1" applyAlignment="1">
      <alignment horizontal="center" vertical="center" wrapText="1"/>
    </xf>
    <xf numFmtId="0" fontId="7" fillId="3" borderId="16" xfId="0" applyFont="1" applyFill="1" applyBorder="1" applyAlignment="1">
      <alignment wrapText="1"/>
    </xf>
    <xf numFmtId="0" fontId="3" fillId="3" borderId="4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" fillId="0" borderId="17" xfId="0" applyFont="1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49" fontId="1" fillId="0" borderId="0" xfId="1" applyNumberFormat="1" applyFont="1" applyFill="1" applyBorder="1" applyAlignment="1">
      <alignment horizontal="left" vertical="center"/>
    </xf>
    <xf numFmtId="49" fontId="11" fillId="0" borderId="0" xfId="1" applyNumberFormat="1" applyFont="1" applyFill="1" applyBorder="1" applyAlignment="1">
      <alignment horizontal="left" vertical="center" wrapText="1"/>
    </xf>
    <xf numFmtId="0" fontId="7" fillId="3" borderId="15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wrapText="1"/>
    </xf>
    <xf numFmtId="0" fontId="3" fillId="3" borderId="33" xfId="0" applyFont="1" applyFill="1" applyBorder="1" applyAlignment="1">
      <alignment horizontal="center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3" fillId="0" borderId="14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8" xfId="0" applyFont="1" applyFill="1" applyBorder="1" applyAlignment="1">
      <alignment horizontal="center" vertical="center" wrapText="1"/>
    </xf>
    <xf numFmtId="0" fontId="3" fillId="0" borderId="16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3" fillId="0" borderId="12" xfId="0" applyFont="1" applyFill="1" applyBorder="1" applyAlignment="1">
      <alignment horizontal="center" vertical="center" wrapText="1"/>
    </xf>
    <xf numFmtId="0" fontId="3" fillId="3" borderId="52" xfId="0" applyFont="1" applyFill="1" applyBorder="1" applyAlignment="1">
      <alignment horizontal="center" vertical="center" wrapText="1"/>
    </xf>
    <xf numFmtId="0" fontId="3" fillId="3" borderId="53" xfId="0" applyFont="1" applyFill="1" applyBorder="1" applyAlignment="1">
      <alignment horizontal="center" vertical="center" wrapText="1"/>
    </xf>
    <xf numFmtId="0" fontId="3" fillId="3" borderId="54" xfId="0" applyFont="1" applyFill="1" applyBorder="1" applyAlignment="1">
      <alignment horizontal="center" vertical="center" wrapText="1"/>
    </xf>
    <xf numFmtId="0" fontId="5" fillId="0" borderId="10" xfId="0" applyFont="1" applyFill="1" applyBorder="1" applyAlignment="1">
      <alignment horizontal="center" vertical="center" wrapText="1"/>
    </xf>
    <xf numFmtId="0" fontId="3" fillId="3" borderId="15" xfId="0" applyFont="1" applyFill="1" applyBorder="1" applyAlignment="1">
      <alignment horizontal="center" vertical="center" wrapText="1"/>
    </xf>
    <xf numFmtId="1" fontId="6" fillId="0" borderId="8" xfId="0" applyNumberFormat="1" applyFont="1" applyFill="1" applyBorder="1" applyAlignment="1" applyProtection="1">
      <alignment horizontal="center" vertical="center" wrapText="1" shrinkToFit="1"/>
    </xf>
    <xf numFmtId="49" fontId="7" fillId="0" borderId="7" xfId="0" applyNumberFormat="1" applyFont="1" applyFill="1" applyBorder="1" applyAlignment="1" applyProtection="1">
      <alignment horizontal="left" vertical="top" wrapText="1"/>
    </xf>
    <xf numFmtId="0" fontId="3" fillId="0" borderId="13" xfId="0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 wrapText="1"/>
    </xf>
    <xf numFmtId="0" fontId="3" fillId="0" borderId="55" xfId="0" applyFont="1" applyFill="1" applyBorder="1" applyAlignment="1">
      <alignment horizontal="center"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7" fillId="0" borderId="10" xfId="0" applyFont="1" applyFill="1" applyBorder="1" applyAlignment="1">
      <alignment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3" fillId="0" borderId="56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 wrapText="1"/>
    </xf>
    <xf numFmtId="0" fontId="7" fillId="0" borderId="43" xfId="0" applyFont="1" applyFill="1" applyBorder="1" applyAlignment="1">
      <alignment horizontal="center" vertical="center" wrapText="1"/>
    </xf>
    <xf numFmtId="0" fontId="7" fillId="0" borderId="16" xfId="0" applyFont="1" applyFill="1" applyBorder="1" applyAlignment="1">
      <alignment wrapText="1"/>
    </xf>
    <xf numFmtId="0" fontId="3" fillId="0" borderId="57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vertical="center" wrapText="1"/>
    </xf>
    <xf numFmtId="0" fontId="3" fillId="0" borderId="10" xfId="0" applyFont="1" applyFill="1" applyBorder="1" applyAlignment="1">
      <alignment vertical="center" wrapText="1"/>
    </xf>
    <xf numFmtId="0" fontId="3" fillId="0" borderId="37" xfId="0" applyFont="1" applyFill="1" applyBorder="1" applyAlignment="1">
      <alignment vertical="center" wrapText="1"/>
    </xf>
    <xf numFmtId="0" fontId="3" fillId="0" borderId="16" xfId="0" applyFont="1" applyFill="1" applyBorder="1" applyAlignment="1">
      <alignment vertical="center" wrapText="1"/>
    </xf>
    <xf numFmtId="0" fontId="3" fillId="0" borderId="8" xfId="0" applyFont="1" applyFill="1" applyBorder="1" applyAlignment="1">
      <alignment vertical="center" wrapText="1"/>
    </xf>
    <xf numFmtId="0" fontId="3" fillId="0" borderId="7" xfId="0" applyFont="1" applyFill="1" applyBorder="1" applyAlignment="1">
      <alignment vertical="center" wrapText="1"/>
    </xf>
    <xf numFmtId="0" fontId="7" fillId="0" borderId="62" xfId="0" applyFont="1" applyFill="1" applyBorder="1" applyAlignment="1">
      <alignment wrapText="1"/>
    </xf>
    <xf numFmtId="0" fontId="7" fillId="0" borderId="61" xfId="0" applyFont="1" applyFill="1" applyBorder="1" applyAlignment="1">
      <alignment horizontal="center" vertical="center" wrapText="1"/>
    </xf>
    <xf numFmtId="0" fontId="7" fillId="3" borderId="42" xfId="0" applyFont="1" applyFill="1" applyBorder="1" applyAlignment="1">
      <alignment wrapText="1"/>
    </xf>
    <xf numFmtId="0" fontId="3" fillId="3" borderId="63" xfId="0" applyFont="1" applyFill="1" applyBorder="1" applyAlignment="1">
      <alignment horizontal="center" vertical="center" wrapText="1"/>
    </xf>
    <xf numFmtId="0" fontId="3" fillId="3" borderId="64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3" fillId="0" borderId="53" xfId="0" applyFont="1" applyFill="1" applyBorder="1" applyAlignment="1">
      <alignment horizontal="center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2" fillId="0" borderId="51" xfId="0" applyFont="1" applyBorder="1" applyAlignment="1">
      <alignment horizontal="center" wrapText="1"/>
    </xf>
    <xf numFmtId="0" fontId="2" fillId="0" borderId="21" xfId="0" applyFont="1" applyFill="1" applyBorder="1" applyAlignment="1">
      <alignment horizontal="center" wrapText="1"/>
    </xf>
    <xf numFmtId="0" fontId="2" fillId="0" borderId="22" xfId="0" applyFont="1" applyFill="1" applyBorder="1" applyAlignment="1">
      <alignment horizontal="center" wrapText="1"/>
    </xf>
    <xf numFmtId="0" fontId="2" fillId="0" borderId="23" xfId="0" applyFont="1" applyFill="1" applyBorder="1" applyAlignment="1">
      <alignment horizontal="center" wrapText="1"/>
    </xf>
    <xf numFmtId="0" fontId="2" fillId="0" borderId="4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2" fillId="0" borderId="20" xfId="0" applyFont="1" applyFill="1" applyBorder="1" applyAlignment="1">
      <alignment horizontal="center" wrapText="1"/>
    </xf>
    <xf numFmtId="0" fontId="2" fillId="0" borderId="17" xfId="0" applyFont="1" applyFill="1" applyBorder="1" applyAlignment="1">
      <alignment horizontal="center" wrapText="1"/>
    </xf>
    <xf numFmtId="0" fontId="2" fillId="0" borderId="58" xfId="0" applyFont="1" applyFill="1" applyBorder="1" applyAlignment="1">
      <alignment horizontal="center" wrapText="1"/>
    </xf>
    <xf numFmtId="0" fontId="2" fillId="0" borderId="28" xfId="0" applyFont="1" applyFill="1" applyBorder="1" applyAlignment="1">
      <alignment horizontal="center" wrapText="1"/>
    </xf>
    <xf numFmtId="0" fontId="2" fillId="0" borderId="29" xfId="0" applyFont="1" applyFill="1" applyBorder="1" applyAlignment="1">
      <alignment horizontal="center" wrapText="1"/>
    </xf>
    <xf numFmtId="0" fontId="2" fillId="0" borderId="59" xfId="0" applyFont="1" applyFill="1" applyBorder="1" applyAlignment="1">
      <alignment horizontal="center" wrapText="1"/>
    </xf>
    <xf numFmtId="0" fontId="2" fillId="0" borderId="51" xfId="0" applyFont="1" applyFill="1" applyBorder="1" applyAlignment="1">
      <alignment horizontal="center" wrapText="1"/>
    </xf>
    <xf numFmtId="0" fontId="2" fillId="0" borderId="60" xfId="0" applyFont="1" applyFill="1" applyBorder="1" applyAlignment="1">
      <alignment horizontal="center" wrapText="1"/>
    </xf>
    <xf numFmtId="0" fontId="2" fillId="0" borderId="19" xfId="0" applyFont="1" applyFill="1" applyBorder="1" applyAlignment="1">
      <alignment horizontal="center" wrapText="1"/>
    </xf>
    <xf numFmtId="0" fontId="2" fillId="0" borderId="27" xfId="0" applyFont="1" applyFill="1" applyBorder="1" applyAlignment="1">
      <alignment horizontal="center" wrapText="1"/>
    </xf>
    <xf numFmtId="0" fontId="2" fillId="0" borderId="34" xfId="0" applyFont="1" applyFill="1" applyBorder="1" applyAlignment="1">
      <alignment horizontal="center" wrapText="1"/>
    </xf>
    <xf numFmtId="0" fontId="9" fillId="2" borderId="20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8" fillId="0" borderId="20" xfId="0" applyFont="1" applyFill="1" applyBorder="1" applyAlignment="1">
      <alignment horizontal="center" vertical="center" wrapText="1"/>
    </xf>
    <xf numFmtId="0" fontId="8" fillId="0" borderId="17" xfId="0" applyFont="1" applyFill="1" applyBorder="1" applyAlignment="1">
      <alignment horizontal="center" vertical="center" wrapText="1"/>
    </xf>
    <xf numFmtId="0" fontId="8" fillId="0" borderId="28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8" fillId="0" borderId="29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/>
    </xf>
    <xf numFmtId="0" fontId="8" fillId="0" borderId="27" xfId="0" applyFont="1" applyFill="1" applyBorder="1" applyAlignment="1">
      <alignment horizontal="center" vertical="center" textRotation="90"/>
    </xf>
    <xf numFmtId="0" fontId="8" fillId="0" borderId="34" xfId="0" applyFont="1" applyFill="1" applyBorder="1" applyAlignment="1">
      <alignment horizontal="center" vertical="center" textRotation="90"/>
    </xf>
    <xf numFmtId="0" fontId="8" fillId="0" borderId="19" xfId="0" applyFont="1" applyFill="1" applyBorder="1" applyAlignment="1">
      <alignment horizontal="center" vertical="center" wrapText="1"/>
    </xf>
    <xf numFmtId="0" fontId="8" fillId="0" borderId="27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 wrapText="1"/>
    </xf>
    <xf numFmtId="0" fontId="8" fillId="0" borderId="27" xfId="0" applyFont="1" applyFill="1" applyBorder="1" applyAlignment="1">
      <alignment horizontal="center" vertical="center" textRotation="90" wrapText="1"/>
    </xf>
    <xf numFmtId="0" fontId="8" fillId="0" borderId="34" xfId="0" applyFont="1" applyFill="1" applyBorder="1" applyAlignment="1">
      <alignment horizontal="center" vertical="center" textRotation="90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center"/>
    </xf>
    <xf numFmtId="0" fontId="8" fillId="0" borderId="27" xfId="0" applyFont="1" applyFill="1" applyBorder="1" applyAlignment="1">
      <alignment horizontal="center" vertical="center" textRotation="89" wrapText="1"/>
    </xf>
    <xf numFmtId="0" fontId="8" fillId="0" borderId="34" xfId="0" applyFont="1" applyFill="1" applyBorder="1" applyAlignment="1">
      <alignment horizontal="center" vertical="center" textRotation="89" wrapText="1"/>
    </xf>
    <xf numFmtId="0" fontId="8" fillId="0" borderId="21" xfId="0" applyFont="1" applyFill="1" applyBorder="1" applyAlignment="1">
      <alignment horizontal="center" vertical="center" wrapText="1"/>
    </xf>
    <xf numFmtId="0" fontId="8" fillId="0" borderId="22" xfId="0" applyFont="1" applyFill="1" applyBorder="1" applyAlignment="1">
      <alignment horizontal="center" vertical="center" wrapText="1"/>
    </xf>
    <xf numFmtId="0" fontId="8" fillId="0" borderId="2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2" fillId="0" borderId="22" xfId="0" applyFont="1" applyBorder="1" applyAlignment="1">
      <alignment horizontal="center" wrapText="1"/>
    </xf>
    <xf numFmtId="0" fontId="7" fillId="3" borderId="61" xfId="0" applyFont="1" applyFill="1" applyBorder="1" applyAlignment="1">
      <alignment horizontal="center" vertical="center" wrapText="1"/>
    </xf>
    <xf numFmtId="0" fontId="7" fillId="3" borderId="62" xfId="0" applyFont="1" applyFill="1" applyBorder="1" applyAlignment="1">
      <alignment wrapText="1"/>
    </xf>
  </cellXfs>
  <cellStyles count="2">
    <cellStyle name="Обычный" xfId="0" builtinId="0"/>
    <cellStyle name="Обычный 3" xfId="1"/>
  </cellStyles>
  <dxfs count="36"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R170"/>
  <sheetViews>
    <sheetView tabSelected="1" topLeftCell="A127" zoomScale="70" zoomScaleNormal="70" workbookViewId="0">
      <selection activeCell="A140" sqref="A140:AE140"/>
    </sheetView>
  </sheetViews>
  <sheetFormatPr defaultColWidth="9.140625" defaultRowHeight="18.75"/>
  <cols>
    <col min="1" max="1" width="5.7109375" style="2" customWidth="1"/>
    <col min="2" max="2" width="31" style="1" customWidth="1"/>
    <col min="3" max="6" width="7.7109375" style="2" customWidth="1"/>
    <col min="7" max="28" width="5.7109375" style="2" customWidth="1"/>
    <col min="29" max="29" width="5.7109375" style="14" customWidth="1"/>
    <col min="30" max="30" width="5.7109375" style="45" customWidth="1"/>
    <col min="31" max="31" width="24.42578125" style="2" customWidth="1"/>
    <col min="32" max="16384" width="9.140625" style="1"/>
  </cols>
  <sheetData>
    <row r="1" spans="1:44" ht="18.75" customHeight="1">
      <c r="A1" s="164" t="s">
        <v>15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  <c r="P1" s="164"/>
      <c r="Q1" s="164"/>
      <c r="R1" s="164"/>
      <c r="S1" s="164"/>
      <c r="T1" s="164"/>
      <c r="U1" s="164"/>
      <c r="V1" s="164"/>
      <c r="W1" s="164"/>
      <c r="X1" s="164"/>
      <c r="Y1" s="164"/>
      <c r="Z1" s="164"/>
      <c r="AA1" s="164"/>
      <c r="AB1" s="164"/>
      <c r="AC1" s="164"/>
      <c r="AD1" s="164"/>
      <c r="AE1" s="93"/>
    </row>
    <row r="2" spans="1:44">
      <c r="A2" s="165" t="s">
        <v>16</v>
      </c>
      <c r="B2" s="165"/>
      <c r="C2" s="165"/>
      <c r="D2" s="165"/>
      <c r="E2" s="165"/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5"/>
      <c r="AD2" s="165"/>
    </row>
    <row r="3" spans="1:44" ht="18.75" customHeight="1">
      <c r="A3" s="189"/>
      <c r="B3" s="189"/>
      <c r="C3" s="189"/>
      <c r="H3" s="166" t="s">
        <v>34</v>
      </c>
      <c r="I3" s="166"/>
      <c r="J3" s="166"/>
      <c r="K3" s="166"/>
      <c r="L3" s="166"/>
      <c r="M3" s="166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</row>
    <row r="4" spans="1:44" ht="19.5" thickBo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13"/>
      <c r="AD4" s="44"/>
      <c r="AE4" s="3"/>
    </row>
    <row r="5" spans="1:44" ht="20.100000000000001" customHeight="1" thickBot="1">
      <c r="A5" s="172" t="s">
        <v>1</v>
      </c>
      <c r="B5" s="175" t="s">
        <v>0</v>
      </c>
      <c r="C5" s="167" t="s">
        <v>4</v>
      </c>
      <c r="D5" s="168"/>
      <c r="E5" s="168"/>
      <c r="F5" s="168"/>
      <c r="G5" s="161" t="s">
        <v>9</v>
      </c>
      <c r="H5" s="162"/>
      <c r="I5" s="181" t="s">
        <v>10</v>
      </c>
      <c r="J5" s="182"/>
      <c r="K5" s="182"/>
      <c r="L5" s="183"/>
      <c r="M5" s="52" t="s">
        <v>11</v>
      </c>
      <c r="N5" s="53"/>
      <c r="O5" s="53"/>
      <c r="P5" s="54"/>
      <c r="Q5" s="52" t="s">
        <v>12</v>
      </c>
      <c r="R5" s="53"/>
      <c r="S5" s="53"/>
      <c r="T5" s="53"/>
      <c r="U5" s="181" t="s">
        <v>13</v>
      </c>
      <c r="V5" s="162"/>
      <c r="W5" s="182"/>
      <c r="X5" s="182"/>
      <c r="Y5" s="54"/>
      <c r="Z5" s="181" t="s">
        <v>14</v>
      </c>
      <c r="AA5" s="182"/>
      <c r="AB5" s="182"/>
      <c r="AC5" s="182"/>
      <c r="AD5" s="61"/>
      <c r="AE5" s="175" t="s">
        <v>5</v>
      </c>
    </row>
    <row r="6" spans="1:44" ht="20.100000000000001" customHeight="1" thickBot="1">
      <c r="A6" s="173"/>
      <c r="B6" s="176"/>
      <c r="C6" s="169"/>
      <c r="D6" s="170"/>
      <c r="E6" s="170"/>
      <c r="F6" s="171"/>
      <c r="G6" s="16">
        <v>24</v>
      </c>
      <c r="H6" s="17">
        <v>31</v>
      </c>
      <c r="I6" s="18">
        <v>7</v>
      </c>
      <c r="J6" s="19">
        <v>14</v>
      </c>
      <c r="K6" s="20">
        <v>21</v>
      </c>
      <c r="L6" s="26">
        <v>28</v>
      </c>
      <c r="M6" s="22">
        <v>7</v>
      </c>
      <c r="N6" s="19">
        <v>14</v>
      </c>
      <c r="O6" s="18">
        <v>21</v>
      </c>
      <c r="P6" s="21">
        <v>28</v>
      </c>
      <c r="Q6" s="24">
        <v>4</v>
      </c>
      <c r="R6" s="18">
        <v>11</v>
      </c>
      <c r="S6" s="18">
        <v>18</v>
      </c>
      <c r="T6" s="21">
        <v>25</v>
      </c>
      <c r="U6" s="27">
        <v>2</v>
      </c>
      <c r="V6" s="57">
        <v>9</v>
      </c>
      <c r="W6" s="25">
        <v>16</v>
      </c>
      <c r="X6" s="24">
        <v>23</v>
      </c>
      <c r="Y6" s="21">
        <v>30</v>
      </c>
      <c r="Z6" s="58">
        <v>6</v>
      </c>
      <c r="AA6" s="60">
        <v>13</v>
      </c>
      <c r="AB6" s="19">
        <v>20</v>
      </c>
      <c r="AC6" s="21">
        <v>27</v>
      </c>
      <c r="AD6" s="27">
        <v>4</v>
      </c>
      <c r="AE6" s="176"/>
    </row>
    <row r="7" spans="1:44" ht="20.100000000000001" customHeight="1" thickBot="1">
      <c r="A7" s="173"/>
      <c r="B7" s="176"/>
      <c r="C7" s="178" t="s">
        <v>2</v>
      </c>
      <c r="D7" s="186" t="s">
        <v>3</v>
      </c>
      <c r="E7" s="187"/>
      <c r="F7" s="188"/>
      <c r="G7" s="46">
        <v>25</v>
      </c>
      <c r="H7" s="23">
        <v>1</v>
      </c>
      <c r="I7" s="30">
        <v>8</v>
      </c>
      <c r="J7" s="31">
        <v>15</v>
      </c>
      <c r="K7" s="29">
        <v>22</v>
      </c>
      <c r="L7" s="24">
        <v>1</v>
      </c>
      <c r="M7" s="51">
        <v>8</v>
      </c>
      <c r="N7" s="31">
        <v>15</v>
      </c>
      <c r="O7" s="30">
        <v>22</v>
      </c>
      <c r="P7" s="29">
        <v>29</v>
      </c>
      <c r="Q7" s="35">
        <v>5</v>
      </c>
      <c r="R7" s="18">
        <v>12</v>
      </c>
      <c r="S7" s="18">
        <v>19</v>
      </c>
      <c r="T7" s="36">
        <v>26</v>
      </c>
      <c r="U7" s="55">
        <v>3</v>
      </c>
      <c r="V7" s="34">
        <v>10</v>
      </c>
      <c r="W7" s="34">
        <v>17</v>
      </c>
      <c r="X7" s="35">
        <v>24</v>
      </c>
      <c r="Y7" s="33">
        <v>31</v>
      </c>
      <c r="Z7" s="30">
        <v>7</v>
      </c>
      <c r="AA7" s="19">
        <v>14</v>
      </c>
      <c r="AB7" s="19">
        <v>21</v>
      </c>
      <c r="AC7" s="29">
        <v>28</v>
      </c>
      <c r="AD7" s="32">
        <v>5</v>
      </c>
      <c r="AE7" s="176"/>
    </row>
    <row r="8" spans="1:44" ht="20.100000000000001" customHeight="1">
      <c r="A8" s="173"/>
      <c r="B8" s="176"/>
      <c r="C8" s="179"/>
      <c r="D8" s="184" t="s">
        <v>6</v>
      </c>
      <c r="E8" s="179" t="s">
        <v>7</v>
      </c>
      <c r="F8" s="179" t="s">
        <v>8</v>
      </c>
      <c r="G8" s="46">
        <v>26</v>
      </c>
      <c r="H8" s="28">
        <v>2</v>
      </c>
      <c r="I8" s="18">
        <v>9</v>
      </c>
      <c r="J8" s="19">
        <v>16</v>
      </c>
      <c r="K8" s="50">
        <v>23</v>
      </c>
      <c r="L8" s="18">
        <v>2</v>
      </c>
      <c r="M8" s="18">
        <v>9</v>
      </c>
      <c r="N8" s="19">
        <v>16</v>
      </c>
      <c r="O8" s="18">
        <v>23</v>
      </c>
      <c r="P8" s="29">
        <v>30</v>
      </c>
      <c r="Q8" s="35">
        <v>6</v>
      </c>
      <c r="R8" s="18">
        <v>13</v>
      </c>
      <c r="S8" s="18">
        <v>20</v>
      </c>
      <c r="T8" s="36">
        <v>27</v>
      </c>
      <c r="U8" s="32">
        <v>4</v>
      </c>
      <c r="V8" s="31">
        <v>11</v>
      </c>
      <c r="W8" s="31">
        <v>18</v>
      </c>
      <c r="X8" s="29">
        <v>25</v>
      </c>
      <c r="Y8" s="24">
        <v>1</v>
      </c>
      <c r="Z8" s="18">
        <v>8</v>
      </c>
      <c r="AA8" s="19">
        <v>15</v>
      </c>
      <c r="AB8" s="19">
        <v>22</v>
      </c>
      <c r="AC8" s="29">
        <v>29</v>
      </c>
      <c r="AD8" s="30">
        <v>6</v>
      </c>
      <c r="AE8" s="176"/>
    </row>
    <row r="9" spans="1:44" s="4" customFormat="1" ht="20.100000000000001" customHeight="1" thickBot="1">
      <c r="A9" s="173"/>
      <c r="B9" s="176"/>
      <c r="C9" s="179"/>
      <c r="D9" s="184"/>
      <c r="E9" s="179"/>
      <c r="F9" s="179"/>
      <c r="G9" s="46">
        <v>27</v>
      </c>
      <c r="H9" s="28">
        <v>3</v>
      </c>
      <c r="I9" s="30">
        <v>10</v>
      </c>
      <c r="J9" s="31">
        <v>17</v>
      </c>
      <c r="K9" s="29">
        <v>24</v>
      </c>
      <c r="L9" s="30">
        <v>3</v>
      </c>
      <c r="M9" s="30">
        <v>10</v>
      </c>
      <c r="N9" s="31">
        <v>17</v>
      </c>
      <c r="O9" s="30">
        <v>24</v>
      </c>
      <c r="P9" s="37">
        <v>31</v>
      </c>
      <c r="Q9" s="30">
        <v>7</v>
      </c>
      <c r="R9" s="18">
        <v>14</v>
      </c>
      <c r="S9" s="18">
        <v>21</v>
      </c>
      <c r="T9" s="36">
        <v>28</v>
      </c>
      <c r="U9" s="55">
        <v>5</v>
      </c>
      <c r="V9" s="31">
        <v>12</v>
      </c>
      <c r="W9" s="31">
        <v>19</v>
      </c>
      <c r="X9" s="29">
        <v>26</v>
      </c>
      <c r="Y9" s="30">
        <v>2</v>
      </c>
      <c r="Z9" s="18">
        <v>9</v>
      </c>
      <c r="AA9" s="19">
        <v>16</v>
      </c>
      <c r="AB9" s="19">
        <v>23</v>
      </c>
      <c r="AC9" s="33">
        <v>30</v>
      </c>
      <c r="AD9" s="46">
        <v>7</v>
      </c>
      <c r="AE9" s="171"/>
    </row>
    <row r="10" spans="1:44" s="4" customFormat="1" ht="20.100000000000001" customHeight="1">
      <c r="A10" s="173"/>
      <c r="B10" s="176"/>
      <c r="C10" s="179"/>
      <c r="D10" s="184"/>
      <c r="E10" s="179"/>
      <c r="F10" s="179"/>
      <c r="G10" s="47">
        <v>28</v>
      </c>
      <c r="H10" s="28">
        <v>4</v>
      </c>
      <c r="I10" s="18">
        <v>11</v>
      </c>
      <c r="J10" s="19">
        <v>18</v>
      </c>
      <c r="K10" s="36">
        <v>25</v>
      </c>
      <c r="L10" s="18">
        <v>4</v>
      </c>
      <c r="M10" s="18">
        <v>11</v>
      </c>
      <c r="N10" s="19">
        <v>18</v>
      </c>
      <c r="O10" s="29">
        <v>25</v>
      </c>
      <c r="P10" s="18">
        <v>1</v>
      </c>
      <c r="Q10" s="18">
        <v>8</v>
      </c>
      <c r="R10" s="18">
        <v>15</v>
      </c>
      <c r="S10" s="18">
        <v>22</v>
      </c>
      <c r="T10" s="36">
        <v>29</v>
      </c>
      <c r="U10" s="28">
        <v>6</v>
      </c>
      <c r="V10" s="31">
        <v>13</v>
      </c>
      <c r="W10" s="19">
        <v>20</v>
      </c>
      <c r="X10" s="36">
        <v>27</v>
      </c>
      <c r="Y10" s="18">
        <v>3</v>
      </c>
      <c r="Z10" s="18">
        <v>10</v>
      </c>
      <c r="AA10" s="19">
        <v>17</v>
      </c>
      <c r="AB10" s="29">
        <v>24</v>
      </c>
      <c r="AC10" s="24">
        <v>1</v>
      </c>
      <c r="AD10" s="32">
        <v>8</v>
      </c>
      <c r="AE10" s="176"/>
    </row>
    <row r="11" spans="1:44" s="4" customFormat="1" ht="20.100000000000001" customHeight="1" thickBot="1">
      <c r="A11" s="173"/>
      <c r="B11" s="176"/>
      <c r="C11" s="179"/>
      <c r="D11" s="184"/>
      <c r="E11" s="179"/>
      <c r="F11" s="179"/>
      <c r="G11" s="48">
        <v>29</v>
      </c>
      <c r="H11" s="38">
        <v>5</v>
      </c>
      <c r="I11" s="30">
        <v>12</v>
      </c>
      <c r="J11" s="31">
        <v>19</v>
      </c>
      <c r="K11" s="37">
        <v>26</v>
      </c>
      <c r="L11" s="40">
        <v>5</v>
      </c>
      <c r="M11" s="30">
        <v>12</v>
      </c>
      <c r="N11" s="31">
        <v>19</v>
      </c>
      <c r="O11" s="29">
        <v>26</v>
      </c>
      <c r="P11" s="40">
        <v>2</v>
      </c>
      <c r="Q11" s="40">
        <v>9</v>
      </c>
      <c r="R11" s="39">
        <v>16</v>
      </c>
      <c r="S11" s="40">
        <v>23</v>
      </c>
      <c r="T11" s="20">
        <v>30</v>
      </c>
      <c r="U11" s="56">
        <v>7</v>
      </c>
      <c r="V11" s="39">
        <v>14</v>
      </c>
      <c r="W11" s="39">
        <v>21</v>
      </c>
      <c r="X11" s="37">
        <v>28</v>
      </c>
      <c r="Y11" s="40">
        <v>4</v>
      </c>
      <c r="Z11" s="18">
        <v>11</v>
      </c>
      <c r="AA11" s="19">
        <v>18</v>
      </c>
      <c r="AB11" s="33">
        <v>25</v>
      </c>
      <c r="AC11" s="59">
        <v>2</v>
      </c>
      <c r="AD11" s="55">
        <v>9</v>
      </c>
      <c r="AE11" s="176"/>
    </row>
    <row r="12" spans="1:44" s="4" customFormat="1" ht="20.100000000000001" customHeight="1" thickBot="1">
      <c r="A12" s="174"/>
      <c r="B12" s="177"/>
      <c r="C12" s="180"/>
      <c r="D12" s="185"/>
      <c r="E12" s="180"/>
      <c r="F12" s="180"/>
      <c r="G12" s="49">
        <v>1</v>
      </c>
      <c r="H12" s="5">
        <v>2</v>
      </c>
      <c r="I12" s="7">
        <v>3</v>
      </c>
      <c r="J12" s="7">
        <v>4</v>
      </c>
      <c r="K12" s="8">
        <v>5</v>
      </c>
      <c r="L12" s="5">
        <v>6</v>
      </c>
      <c r="M12" s="7">
        <v>7</v>
      </c>
      <c r="N12" s="6">
        <v>8</v>
      </c>
      <c r="O12" s="10">
        <v>9</v>
      </c>
      <c r="P12" s="7">
        <v>10</v>
      </c>
      <c r="Q12" s="41">
        <v>11</v>
      </c>
      <c r="R12" s="7">
        <v>12</v>
      </c>
      <c r="S12" s="6">
        <v>13</v>
      </c>
      <c r="T12" s="8">
        <v>14</v>
      </c>
      <c r="U12" s="5">
        <v>15</v>
      </c>
      <c r="V12" s="41">
        <v>16</v>
      </c>
      <c r="W12" s="42">
        <v>17</v>
      </c>
      <c r="X12" s="43">
        <v>18</v>
      </c>
      <c r="Y12" s="15">
        <v>19</v>
      </c>
      <c r="Z12" s="15">
        <v>20</v>
      </c>
      <c r="AA12" s="6">
        <v>21</v>
      </c>
      <c r="AB12" s="10">
        <v>22</v>
      </c>
      <c r="AC12" s="9">
        <v>23</v>
      </c>
      <c r="AD12" s="6">
        <v>24</v>
      </c>
      <c r="AE12" s="177"/>
    </row>
    <row r="13" spans="1:44" s="4" customFormat="1" ht="35.25" customHeight="1">
      <c r="A13" s="95"/>
      <c r="B13" s="95"/>
      <c r="C13" s="94"/>
      <c r="D13" s="94"/>
      <c r="E13" s="94"/>
      <c r="F13" s="94"/>
      <c r="G13" s="94"/>
      <c r="H13" s="94"/>
      <c r="I13" s="94"/>
      <c r="J13" s="94"/>
      <c r="K13" s="94"/>
      <c r="L13" s="163" t="s">
        <v>35</v>
      </c>
      <c r="M13" s="163"/>
      <c r="N13" s="163"/>
      <c r="O13" s="163"/>
      <c r="P13" s="163"/>
      <c r="Q13" s="163"/>
      <c r="R13" s="163"/>
      <c r="S13" s="163"/>
      <c r="T13" s="163"/>
      <c r="U13" s="163"/>
      <c r="V13" s="163"/>
      <c r="W13" s="163"/>
      <c r="X13" s="163"/>
      <c r="Y13" s="163"/>
      <c r="Z13" s="163"/>
      <c r="AA13" s="163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</row>
    <row r="14" spans="1:44" s="4" customFormat="1" ht="19.5" customHeight="1" thickBot="1">
      <c r="A14" s="143" t="s">
        <v>17</v>
      </c>
      <c r="B14" s="143"/>
      <c r="C14" s="143"/>
      <c r="D14" s="143"/>
      <c r="E14" s="143"/>
      <c r="F14" s="143"/>
      <c r="G14" s="143"/>
      <c r="H14" s="143"/>
      <c r="I14" s="143"/>
      <c r="J14" s="143"/>
      <c r="K14" s="143"/>
      <c r="L14" s="143"/>
      <c r="M14" s="143"/>
      <c r="N14" s="143"/>
      <c r="O14" s="143"/>
      <c r="P14" s="143"/>
      <c r="Q14" s="143"/>
      <c r="R14" s="143"/>
      <c r="S14" s="143"/>
      <c r="T14" s="143"/>
      <c r="U14" s="143"/>
      <c r="V14" s="143"/>
      <c r="W14" s="143"/>
      <c r="X14" s="143"/>
      <c r="Y14" s="143"/>
      <c r="Z14" s="143"/>
      <c r="AA14" s="143"/>
      <c r="AB14" s="143"/>
      <c r="AC14" s="143"/>
      <c r="AD14" s="143"/>
      <c r="AE14" s="143"/>
      <c r="AM14" s="12"/>
      <c r="AN14" s="96"/>
      <c r="AO14" s="97"/>
      <c r="AP14" s="97"/>
      <c r="AQ14" s="11"/>
      <c r="AR14" s="11"/>
    </row>
    <row r="15" spans="1:44" s="4" customFormat="1" ht="19.5" customHeight="1" thickBot="1">
      <c r="A15" s="144" t="s">
        <v>78</v>
      </c>
      <c r="B15" s="145"/>
      <c r="C15" s="145"/>
      <c r="D15" s="145"/>
      <c r="E15" s="145"/>
      <c r="F15" s="145"/>
      <c r="G15" s="145"/>
      <c r="H15" s="145"/>
      <c r="I15" s="145"/>
      <c r="J15" s="145"/>
      <c r="K15" s="145"/>
      <c r="L15" s="145"/>
      <c r="M15" s="145"/>
      <c r="N15" s="145"/>
      <c r="O15" s="145"/>
      <c r="P15" s="145"/>
      <c r="Q15" s="145"/>
      <c r="R15" s="145"/>
      <c r="S15" s="145"/>
      <c r="T15" s="145"/>
      <c r="U15" s="145"/>
      <c r="V15" s="145"/>
      <c r="W15" s="145"/>
      <c r="X15" s="145"/>
      <c r="Y15" s="145"/>
      <c r="Z15" s="145"/>
      <c r="AA15" s="145"/>
      <c r="AB15" s="145"/>
      <c r="AC15" s="145"/>
      <c r="AD15" s="145"/>
      <c r="AE15" s="146"/>
      <c r="AM15" s="12"/>
      <c r="AN15" s="96"/>
      <c r="AO15" s="140"/>
      <c r="AP15" s="140"/>
      <c r="AQ15" s="11"/>
      <c r="AR15" s="11"/>
    </row>
    <row r="16" spans="1:44" ht="19.5">
      <c r="A16" s="82">
        <v>33</v>
      </c>
      <c r="B16" s="83" t="s">
        <v>47</v>
      </c>
      <c r="C16" s="64">
        <f t="shared" ref="C16" si="0">SUM(D16:F18)</f>
        <v>54</v>
      </c>
      <c r="D16" s="65">
        <f t="shared" ref="D16" si="1">SUM(G16:AD16)</f>
        <v>18</v>
      </c>
      <c r="E16" s="65"/>
      <c r="F16" s="66"/>
      <c r="G16" s="67">
        <v>2</v>
      </c>
      <c r="H16" s="68"/>
      <c r="I16" s="68">
        <v>2</v>
      </c>
      <c r="J16" s="67"/>
      <c r="K16" s="64">
        <v>2</v>
      </c>
      <c r="L16" s="65"/>
      <c r="M16" s="65">
        <v>2</v>
      </c>
      <c r="N16" s="65"/>
      <c r="O16" s="65">
        <v>2</v>
      </c>
      <c r="P16" s="65"/>
      <c r="Q16" s="64">
        <v>2</v>
      </c>
      <c r="R16" s="64"/>
      <c r="S16" s="65">
        <v>2</v>
      </c>
      <c r="T16" s="65"/>
      <c r="U16" s="65">
        <v>2</v>
      </c>
      <c r="V16" s="65"/>
      <c r="W16" s="65">
        <v>2</v>
      </c>
      <c r="X16" s="65"/>
      <c r="Y16" s="65"/>
      <c r="Z16" s="65"/>
      <c r="AA16" s="65"/>
      <c r="AB16" s="65"/>
      <c r="AC16" s="65"/>
      <c r="AD16" s="65"/>
      <c r="AE16" s="66" t="s">
        <v>26</v>
      </c>
    </row>
    <row r="17" spans="1:44">
      <c r="A17" s="84"/>
      <c r="B17" s="85"/>
      <c r="C17" s="71"/>
      <c r="D17" s="72"/>
      <c r="E17" s="72">
        <f t="shared" ref="E17" si="2">SUM(G17:AD17)</f>
        <v>36</v>
      </c>
      <c r="F17" s="73"/>
      <c r="G17" s="71"/>
      <c r="H17" s="71">
        <v>4</v>
      </c>
      <c r="I17" s="71"/>
      <c r="J17" s="71">
        <v>4</v>
      </c>
      <c r="K17" s="71"/>
      <c r="L17" s="71">
        <v>4</v>
      </c>
      <c r="M17" s="71"/>
      <c r="N17" s="71">
        <v>4</v>
      </c>
      <c r="O17" s="71"/>
      <c r="P17" s="71">
        <v>4</v>
      </c>
      <c r="Q17" s="71"/>
      <c r="R17" s="71">
        <v>4</v>
      </c>
      <c r="S17" s="71"/>
      <c r="T17" s="71">
        <v>4</v>
      </c>
      <c r="U17" s="71"/>
      <c r="V17" s="71">
        <v>4</v>
      </c>
      <c r="W17" s="71"/>
      <c r="X17" s="71">
        <v>4</v>
      </c>
      <c r="Y17" s="72"/>
      <c r="Z17" s="72"/>
      <c r="AA17" s="72"/>
      <c r="AB17" s="72"/>
      <c r="AC17" s="72"/>
      <c r="AD17" s="72"/>
      <c r="AE17" s="76"/>
    </row>
    <row r="18" spans="1:44" ht="19.5" thickBot="1">
      <c r="A18" s="88"/>
      <c r="B18" s="89"/>
      <c r="C18" s="79"/>
      <c r="D18" s="80"/>
      <c r="E18" s="80"/>
      <c r="F18" s="81">
        <f t="shared" ref="F18" si="3">SUM(G18:AD18)</f>
        <v>0</v>
      </c>
      <c r="G18" s="79"/>
      <c r="H18" s="80"/>
      <c r="I18" s="80"/>
      <c r="J18" s="79"/>
      <c r="K18" s="79"/>
      <c r="L18" s="80"/>
      <c r="M18" s="80"/>
      <c r="N18" s="80"/>
      <c r="O18" s="80"/>
      <c r="P18" s="80"/>
      <c r="Q18" s="79"/>
      <c r="R18" s="79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1">
        <v>18</v>
      </c>
    </row>
    <row r="19" spans="1:44" s="4" customFormat="1" ht="19.5" thickBot="1">
      <c r="A19" s="144" t="s">
        <v>37</v>
      </c>
      <c r="B19" s="145"/>
      <c r="C19" s="145"/>
      <c r="D19" s="145"/>
      <c r="E19" s="145"/>
      <c r="F19" s="145"/>
      <c r="G19" s="145"/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5"/>
      <c r="S19" s="145"/>
      <c r="T19" s="145"/>
      <c r="U19" s="145"/>
      <c r="V19" s="145"/>
      <c r="W19" s="145"/>
      <c r="X19" s="145"/>
      <c r="Y19" s="145"/>
      <c r="Z19" s="145"/>
      <c r="AA19" s="145"/>
      <c r="AB19" s="145"/>
      <c r="AC19" s="145"/>
      <c r="AD19" s="145"/>
      <c r="AE19" s="146"/>
      <c r="AM19" s="11"/>
      <c r="AN19" s="11"/>
      <c r="AO19" s="11"/>
      <c r="AP19" s="11"/>
      <c r="AQ19" s="11"/>
      <c r="AR19" s="11"/>
    </row>
    <row r="20" spans="1:44" ht="27" customHeight="1">
      <c r="A20" s="82">
        <v>33</v>
      </c>
      <c r="B20" s="83" t="s">
        <v>36</v>
      </c>
      <c r="C20" s="64">
        <f t="shared" ref="C20" si="4">SUM(D20:F22)</f>
        <v>36</v>
      </c>
      <c r="D20" s="65">
        <f t="shared" ref="D20" si="5">SUM(G20:X20)</f>
        <v>18</v>
      </c>
      <c r="E20" s="65"/>
      <c r="F20" s="66"/>
      <c r="G20" s="67">
        <v>2</v>
      </c>
      <c r="H20" s="68"/>
      <c r="I20" s="68">
        <v>2</v>
      </c>
      <c r="J20" s="67"/>
      <c r="K20" s="64">
        <v>2</v>
      </c>
      <c r="L20" s="65"/>
      <c r="M20" s="65">
        <v>2</v>
      </c>
      <c r="N20" s="65"/>
      <c r="O20" s="65">
        <v>2</v>
      </c>
      <c r="P20" s="65"/>
      <c r="Q20" s="64">
        <v>2</v>
      </c>
      <c r="R20" s="64"/>
      <c r="S20" s="65">
        <v>2</v>
      </c>
      <c r="T20" s="65"/>
      <c r="U20" s="65">
        <v>2</v>
      </c>
      <c r="V20" s="65"/>
      <c r="W20" s="65">
        <v>2</v>
      </c>
      <c r="X20" s="66"/>
      <c r="Y20" s="64"/>
      <c r="Z20" s="65"/>
      <c r="AA20" s="65"/>
      <c r="AB20" s="65"/>
      <c r="AC20" s="65"/>
      <c r="AD20" s="65"/>
      <c r="AE20" s="66" t="s">
        <v>18</v>
      </c>
    </row>
    <row r="21" spans="1:44">
      <c r="A21" s="84"/>
      <c r="B21" s="85"/>
      <c r="C21" s="71"/>
      <c r="D21" s="72"/>
      <c r="E21" s="72">
        <f t="shared" ref="E21" si="6">SUM(G21:X21)</f>
        <v>18</v>
      </c>
      <c r="F21" s="73"/>
      <c r="G21" s="71"/>
      <c r="H21" s="71">
        <v>2</v>
      </c>
      <c r="I21" s="71"/>
      <c r="J21" s="71">
        <v>2</v>
      </c>
      <c r="K21" s="71"/>
      <c r="L21" s="71">
        <v>2</v>
      </c>
      <c r="M21" s="71"/>
      <c r="N21" s="71">
        <v>2</v>
      </c>
      <c r="O21" s="71"/>
      <c r="P21" s="71">
        <v>2</v>
      </c>
      <c r="Q21" s="71"/>
      <c r="R21" s="71">
        <v>2</v>
      </c>
      <c r="S21" s="71"/>
      <c r="T21" s="71">
        <v>2</v>
      </c>
      <c r="U21" s="71"/>
      <c r="V21" s="71">
        <v>2</v>
      </c>
      <c r="W21" s="71"/>
      <c r="X21" s="90">
        <v>2</v>
      </c>
      <c r="Y21" s="91"/>
      <c r="Z21" s="72"/>
      <c r="AA21" s="72"/>
      <c r="AB21" s="72"/>
      <c r="AC21" s="72"/>
      <c r="AD21" s="72"/>
      <c r="AE21" s="76"/>
    </row>
    <row r="22" spans="1:44" ht="19.5" thickBot="1">
      <c r="A22" s="98"/>
      <c r="B22" s="89"/>
      <c r="C22" s="79"/>
      <c r="D22" s="80"/>
      <c r="E22" s="80"/>
      <c r="F22" s="81">
        <f t="shared" ref="F22" si="7">SUM(G22:X22)</f>
        <v>0</v>
      </c>
      <c r="G22" s="79"/>
      <c r="H22" s="80"/>
      <c r="I22" s="80"/>
      <c r="J22" s="79"/>
      <c r="K22" s="79"/>
      <c r="L22" s="80"/>
      <c r="M22" s="80"/>
      <c r="N22" s="80"/>
      <c r="O22" s="80"/>
      <c r="P22" s="80"/>
      <c r="Q22" s="79"/>
      <c r="R22" s="79"/>
      <c r="S22" s="80"/>
      <c r="T22" s="80"/>
      <c r="U22" s="80"/>
      <c r="V22" s="80"/>
      <c r="W22" s="80"/>
      <c r="X22" s="92"/>
      <c r="Y22" s="79"/>
      <c r="Z22" s="80"/>
      <c r="AA22" s="80"/>
      <c r="AB22" s="80"/>
      <c r="AC22" s="80"/>
      <c r="AD22" s="80"/>
      <c r="AE22" s="81">
        <v>9</v>
      </c>
    </row>
    <row r="23" spans="1:44" s="4" customFormat="1" ht="19.5" customHeight="1" thickBot="1">
      <c r="A23" s="144" t="s">
        <v>40</v>
      </c>
      <c r="B23" s="145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145"/>
      <c r="Q23" s="145"/>
      <c r="R23" s="145"/>
      <c r="S23" s="145"/>
      <c r="T23" s="145"/>
      <c r="U23" s="145"/>
      <c r="V23" s="145"/>
      <c r="W23" s="145"/>
      <c r="X23" s="145"/>
      <c r="Y23" s="145"/>
      <c r="Z23" s="145"/>
      <c r="AA23" s="145"/>
      <c r="AB23" s="145"/>
      <c r="AC23" s="145"/>
      <c r="AD23" s="145"/>
      <c r="AE23" s="146"/>
      <c r="AM23" s="12"/>
      <c r="AN23" s="96"/>
      <c r="AO23" s="101"/>
      <c r="AP23" s="101"/>
      <c r="AQ23" s="11"/>
      <c r="AR23" s="11"/>
    </row>
    <row r="24" spans="1:44" ht="56.25">
      <c r="A24" s="82">
        <v>33</v>
      </c>
      <c r="B24" s="83" t="s">
        <v>38</v>
      </c>
      <c r="C24" s="64">
        <f t="shared" ref="C24" si="8">SUM(D24:F26)</f>
        <v>40</v>
      </c>
      <c r="D24" s="65">
        <f t="shared" ref="D24" si="9">SUM(G24:Z24)</f>
        <v>20</v>
      </c>
      <c r="E24" s="65"/>
      <c r="F24" s="66"/>
      <c r="G24" s="67">
        <v>2</v>
      </c>
      <c r="H24" s="75"/>
      <c r="I24" s="75">
        <v>2</v>
      </c>
      <c r="J24" s="74"/>
      <c r="K24" s="74">
        <v>2</v>
      </c>
      <c r="L24" s="75"/>
      <c r="M24" s="75">
        <v>2</v>
      </c>
      <c r="N24" s="75"/>
      <c r="O24" s="75">
        <v>2</v>
      </c>
      <c r="P24" s="75"/>
      <c r="Q24" s="74">
        <v>2</v>
      </c>
      <c r="R24" s="74"/>
      <c r="S24" s="75">
        <v>2</v>
      </c>
      <c r="T24" s="75"/>
      <c r="U24" s="75">
        <v>2</v>
      </c>
      <c r="V24" s="75"/>
      <c r="W24" s="75">
        <v>2</v>
      </c>
      <c r="X24" s="109"/>
      <c r="Y24" s="65">
        <v>2</v>
      </c>
      <c r="Z24" s="66"/>
      <c r="AA24" s="64"/>
      <c r="AB24" s="65"/>
      <c r="AC24" s="65"/>
      <c r="AD24" s="65"/>
      <c r="AE24" s="66" t="s">
        <v>39</v>
      </c>
    </row>
    <row r="25" spans="1:44">
      <c r="A25" s="84"/>
      <c r="B25" s="85"/>
      <c r="C25" s="71"/>
      <c r="D25" s="72"/>
      <c r="E25" s="72">
        <f t="shared" ref="E25" si="10">SUM(G25:Z25)</f>
        <v>20</v>
      </c>
      <c r="F25" s="73"/>
      <c r="G25" s="91"/>
      <c r="H25" s="74">
        <v>2</v>
      </c>
      <c r="I25" s="75"/>
      <c r="J25" s="75">
        <v>2</v>
      </c>
      <c r="K25" s="74"/>
      <c r="L25" s="74">
        <v>2</v>
      </c>
      <c r="M25" s="75"/>
      <c r="N25" s="75">
        <v>2</v>
      </c>
      <c r="O25" s="75"/>
      <c r="P25" s="75">
        <v>2</v>
      </c>
      <c r="Q25" s="75"/>
      <c r="R25" s="74">
        <v>2</v>
      </c>
      <c r="S25" s="74"/>
      <c r="T25" s="75">
        <v>2</v>
      </c>
      <c r="U25" s="75"/>
      <c r="V25" s="75">
        <v>2</v>
      </c>
      <c r="W25" s="75"/>
      <c r="X25" s="109">
        <v>2</v>
      </c>
      <c r="Y25" s="72"/>
      <c r="Z25" s="73">
        <v>2</v>
      </c>
      <c r="AA25" s="71"/>
      <c r="AB25" s="72"/>
      <c r="AC25" s="72"/>
      <c r="AD25" s="72"/>
      <c r="AE25" s="76"/>
    </row>
    <row r="26" spans="1:44" ht="19.5" thickBot="1">
      <c r="A26" s="98"/>
      <c r="B26" s="89"/>
      <c r="C26" s="79"/>
      <c r="D26" s="80"/>
      <c r="E26" s="80"/>
      <c r="F26" s="81">
        <f t="shared" ref="F26" si="11">SUM(G26:Z26)</f>
        <v>0</v>
      </c>
      <c r="G26" s="79"/>
      <c r="H26" s="80"/>
      <c r="I26" s="80"/>
      <c r="J26" s="79"/>
      <c r="K26" s="79"/>
      <c r="L26" s="80"/>
      <c r="M26" s="80"/>
      <c r="N26" s="80"/>
      <c r="O26" s="80"/>
      <c r="P26" s="80"/>
      <c r="Q26" s="86"/>
      <c r="R26" s="86"/>
      <c r="S26" s="87"/>
      <c r="T26" s="87"/>
      <c r="U26" s="87"/>
      <c r="V26" s="87"/>
      <c r="W26" s="87"/>
      <c r="X26" s="110"/>
      <c r="Y26" s="87"/>
      <c r="Z26" s="92"/>
      <c r="AA26" s="86"/>
      <c r="AB26" s="87"/>
      <c r="AC26" s="87"/>
      <c r="AD26" s="87"/>
      <c r="AE26" s="81">
        <v>18</v>
      </c>
    </row>
    <row r="27" spans="1:44" s="4" customFormat="1" ht="19.5" thickBot="1">
      <c r="A27" s="144" t="s">
        <v>32</v>
      </c>
      <c r="B27" s="145"/>
      <c r="C27" s="145"/>
      <c r="D27" s="145"/>
      <c r="E27" s="145"/>
      <c r="F27" s="145"/>
      <c r="G27" s="145"/>
      <c r="H27" s="145"/>
      <c r="I27" s="145"/>
      <c r="J27" s="145"/>
      <c r="K27" s="145"/>
      <c r="L27" s="145"/>
      <c r="M27" s="145"/>
      <c r="N27" s="145"/>
      <c r="O27" s="145"/>
      <c r="P27" s="145"/>
      <c r="Q27" s="145"/>
      <c r="R27" s="145"/>
      <c r="S27" s="145"/>
      <c r="T27" s="145"/>
      <c r="U27" s="145"/>
      <c r="V27" s="145"/>
      <c r="W27" s="145"/>
      <c r="X27" s="145"/>
      <c r="Y27" s="145"/>
      <c r="Z27" s="145"/>
      <c r="AA27" s="145"/>
      <c r="AB27" s="145"/>
      <c r="AC27" s="145"/>
      <c r="AD27" s="145"/>
      <c r="AE27" s="146"/>
      <c r="AM27" s="12"/>
      <c r="AN27" s="96"/>
      <c r="AO27" s="149"/>
      <c r="AP27" s="149"/>
      <c r="AQ27" s="11"/>
      <c r="AR27" s="11"/>
    </row>
    <row r="28" spans="1:44" ht="19.5">
      <c r="A28" s="82">
        <v>33</v>
      </c>
      <c r="B28" s="83" t="s">
        <v>36</v>
      </c>
      <c r="C28" s="64">
        <f t="shared" ref="C28" si="12">SUM(D28:F30)</f>
        <v>36</v>
      </c>
      <c r="D28" s="65">
        <f t="shared" ref="D28" si="13">SUM(G28:X28)</f>
        <v>18</v>
      </c>
      <c r="E28" s="65"/>
      <c r="F28" s="66"/>
      <c r="G28" s="67">
        <v>2</v>
      </c>
      <c r="H28" s="68"/>
      <c r="I28" s="68">
        <v>2</v>
      </c>
      <c r="J28" s="67"/>
      <c r="K28" s="64">
        <v>2</v>
      </c>
      <c r="L28" s="65"/>
      <c r="M28" s="65">
        <v>2</v>
      </c>
      <c r="N28" s="65"/>
      <c r="O28" s="65">
        <v>2</v>
      </c>
      <c r="P28" s="65"/>
      <c r="Q28" s="64">
        <v>2</v>
      </c>
      <c r="R28" s="64"/>
      <c r="S28" s="65">
        <v>2</v>
      </c>
      <c r="T28" s="65"/>
      <c r="U28" s="65">
        <v>2</v>
      </c>
      <c r="V28" s="65"/>
      <c r="W28" s="65">
        <v>2</v>
      </c>
      <c r="X28" s="66"/>
      <c r="Y28" s="64"/>
      <c r="Z28" s="65"/>
      <c r="AA28" s="65"/>
      <c r="AB28" s="65"/>
      <c r="AC28" s="65"/>
      <c r="AD28" s="65"/>
      <c r="AE28" s="66" t="s">
        <v>18</v>
      </c>
    </row>
    <row r="29" spans="1:44">
      <c r="A29" s="84"/>
      <c r="B29" s="85"/>
      <c r="C29" s="71"/>
      <c r="D29" s="72"/>
      <c r="E29" s="72">
        <f t="shared" ref="E29" si="14">SUM(G29:X29)</f>
        <v>18</v>
      </c>
      <c r="F29" s="73"/>
      <c r="G29" s="71"/>
      <c r="H29" s="71">
        <v>2</v>
      </c>
      <c r="I29" s="71"/>
      <c r="J29" s="71">
        <v>2</v>
      </c>
      <c r="K29" s="71"/>
      <c r="L29" s="71">
        <v>2</v>
      </c>
      <c r="M29" s="71"/>
      <c r="N29" s="71">
        <v>2</v>
      </c>
      <c r="O29" s="71"/>
      <c r="P29" s="71">
        <v>2</v>
      </c>
      <c r="Q29" s="71"/>
      <c r="R29" s="71">
        <v>2</v>
      </c>
      <c r="S29" s="71"/>
      <c r="T29" s="71">
        <v>2</v>
      </c>
      <c r="U29" s="71"/>
      <c r="V29" s="71">
        <v>2</v>
      </c>
      <c r="W29" s="71"/>
      <c r="X29" s="90">
        <v>2</v>
      </c>
      <c r="Y29" s="91"/>
      <c r="Z29" s="72"/>
      <c r="AA29" s="72"/>
      <c r="AB29" s="72"/>
      <c r="AC29" s="72"/>
      <c r="AD29" s="72"/>
      <c r="AE29" s="76"/>
    </row>
    <row r="30" spans="1:44" ht="19.5" thickBot="1">
      <c r="A30" s="98"/>
      <c r="B30" s="89"/>
      <c r="C30" s="79"/>
      <c r="D30" s="80"/>
      <c r="E30" s="80"/>
      <c r="F30" s="81">
        <f t="shared" ref="F30" si="15">SUM(G30:X30)</f>
        <v>0</v>
      </c>
      <c r="G30" s="79"/>
      <c r="H30" s="80"/>
      <c r="I30" s="80"/>
      <c r="J30" s="79"/>
      <c r="K30" s="79"/>
      <c r="L30" s="80"/>
      <c r="M30" s="80"/>
      <c r="N30" s="80"/>
      <c r="O30" s="80"/>
      <c r="P30" s="80"/>
      <c r="Q30" s="86"/>
      <c r="R30" s="86"/>
      <c r="S30" s="87"/>
      <c r="T30" s="87"/>
      <c r="U30" s="87"/>
      <c r="V30" s="87"/>
      <c r="W30" s="87"/>
      <c r="X30" s="92"/>
      <c r="Y30" s="86"/>
      <c r="Z30" s="87"/>
      <c r="AA30" s="87"/>
      <c r="AB30" s="87"/>
      <c r="AC30" s="87"/>
      <c r="AD30" s="87"/>
      <c r="AE30" s="81">
        <v>9</v>
      </c>
    </row>
    <row r="31" spans="1:44" s="4" customFormat="1" ht="19.5" thickBot="1">
      <c r="A31" s="144" t="s">
        <v>46</v>
      </c>
      <c r="B31" s="145"/>
      <c r="C31" s="145"/>
      <c r="D31" s="145"/>
      <c r="E31" s="145"/>
      <c r="F31" s="145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U31" s="145"/>
      <c r="V31" s="145"/>
      <c r="W31" s="145"/>
      <c r="X31" s="145"/>
      <c r="Y31" s="145"/>
      <c r="Z31" s="145"/>
      <c r="AA31" s="145"/>
      <c r="AB31" s="145"/>
      <c r="AC31" s="145"/>
      <c r="AD31" s="145"/>
      <c r="AE31" s="146"/>
      <c r="AM31" s="12"/>
      <c r="AN31" s="96"/>
      <c r="AO31" s="149"/>
      <c r="AP31" s="149"/>
      <c r="AQ31" s="11"/>
      <c r="AR31" s="11"/>
    </row>
    <row r="32" spans="1:44" s="4" customFormat="1" ht="37.5">
      <c r="A32" s="82">
        <v>33</v>
      </c>
      <c r="B32" s="83" t="s">
        <v>41</v>
      </c>
      <c r="C32" s="64">
        <f>SUM(D32:F34)</f>
        <v>72</v>
      </c>
      <c r="D32" s="65">
        <f>SUM(G32:AD32)</f>
        <v>36</v>
      </c>
      <c r="E32" s="65"/>
      <c r="F32" s="66"/>
      <c r="G32" s="74">
        <v>2</v>
      </c>
      <c r="H32" s="74">
        <v>2</v>
      </c>
      <c r="I32" s="74">
        <v>2</v>
      </c>
      <c r="J32" s="74">
        <v>2</v>
      </c>
      <c r="K32" s="74">
        <v>2</v>
      </c>
      <c r="L32" s="74">
        <v>2</v>
      </c>
      <c r="M32" s="74">
        <v>2</v>
      </c>
      <c r="N32" s="74">
        <v>2</v>
      </c>
      <c r="O32" s="74">
        <v>2</v>
      </c>
      <c r="P32" s="74">
        <v>2</v>
      </c>
      <c r="Q32" s="74">
        <v>2</v>
      </c>
      <c r="R32" s="74">
        <v>2</v>
      </c>
      <c r="S32" s="74">
        <v>2</v>
      </c>
      <c r="T32" s="74">
        <v>2</v>
      </c>
      <c r="U32" s="74">
        <v>2</v>
      </c>
      <c r="V32" s="74">
        <v>2</v>
      </c>
      <c r="W32" s="74">
        <v>2</v>
      </c>
      <c r="X32" s="66">
        <v>2</v>
      </c>
      <c r="Y32" s="64"/>
      <c r="Z32" s="65"/>
      <c r="AA32" s="65"/>
      <c r="AB32" s="65"/>
      <c r="AC32" s="65"/>
      <c r="AD32" s="65"/>
      <c r="AE32" s="66" t="s">
        <v>19</v>
      </c>
      <c r="AM32" s="11"/>
      <c r="AN32" s="11"/>
      <c r="AO32" s="11"/>
      <c r="AP32" s="11"/>
      <c r="AQ32" s="11"/>
      <c r="AR32" s="11"/>
    </row>
    <row r="33" spans="1:44" s="4" customFormat="1">
      <c r="A33" s="84"/>
      <c r="B33" s="85"/>
      <c r="C33" s="71"/>
      <c r="D33" s="72"/>
      <c r="E33" s="72">
        <f>SUM(G33:AD33)</f>
        <v>32</v>
      </c>
      <c r="F33" s="73"/>
      <c r="G33" s="111">
        <v>2</v>
      </c>
      <c r="H33" s="111">
        <v>2</v>
      </c>
      <c r="I33" s="111">
        <v>2</v>
      </c>
      <c r="J33" s="72">
        <v>2</v>
      </c>
      <c r="K33" s="111">
        <v>2</v>
      </c>
      <c r="L33" s="111">
        <v>2</v>
      </c>
      <c r="M33" s="111">
        <v>2</v>
      </c>
      <c r="N33" s="111">
        <v>2</v>
      </c>
      <c r="O33" s="111">
        <v>2</v>
      </c>
      <c r="P33" s="111">
        <v>2</v>
      </c>
      <c r="Q33" s="111">
        <v>2</v>
      </c>
      <c r="R33" s="111">
        <v>2</v>
      </c>
      <c r="S33" s="111">
        <v>2</v>
      </c>
      <c r="T33" s="111">
        <v>2</v>
      </c>
      <c r="U33" s="111">
        <v>2</v>
      </c>
      <c r="V33" s="111">
        <v>2</v>
      </c>
      <c r="W33" s="75"/>
      <c r="X33" s="73"/>
      <c r="Y33" s="71"/>
      <c r="Z33" s="72"/>
      <c r="AA33" s="72"/>
      <c r="AB33" s="72"/>
      <c r="AC33" s="72"/>
      <c r="AD33" s="72"/>
      <c r="AE33" s="76" t="s">
        <v>25</v>
      </c>
      <c r="AM33" s="12"/>
      <c r="AN33" s="96"/>
      <c r="AO33" s="149"/>
      <c r="AP33" s="149"/>
      <c r="AQ33" s="11"/>
      <c r="AR33" s="11"/>
    </row>
    <row r="34" spans="1:44" s="4" customFormat="1" ht="19.5" thickBot="1">
      <c r="A34" s="88"/>
      <c r="B34" s="89"/>
      <c r="C34" s="79"/>
      <c r="D34" s="80"/>
      <c r="E34" s="80"/>
      <c r="F34" s="81">
        <f>SUM(G34:X34)</f>
        <v>4</v>
      </c>
      <c r="G34" s="86"/>
      <c r="H34" s="87"/>
      <c r="I34" s="86"/>
      <c r="J34" s="79"/>
      <c r="K34" s="86"/>
      <c r="L34" s="87"/>
      <c r="M34" s="87"/>
      <c r="N34" s="87"/>
      <c r="O34" s="87"/>
      <c r="P34" s="87"/>
      <c r="Q34" s="86"/>
      <c r="R34" s="86"/>
      <c r="S34" s="87"/>
      <c r="T34" s="87"/>
      <c r="U34" s="87"/>
      <c r="V34" s="87"/>
      <c r="W34" s="87">
        <v>2</v>
      </c>
      <c r="X34" s="92">
        <v>2</v>
      </c>
      <c r="Y34" s="86"/>
      <c r="Z34" s="87"/>
      <c r="AA34" s="87"/>
      <c r="AB34" s="87"/>
      <c r="AC34" s="87"/>
      <c r="AD34" s="87"/>
      <c r="AE34" s="81">
        <v>36</v>
      </c>
      <c r="AM34" s="12"/>
      <c r="AN34" s="96"/>
      <c r="AO34" s="149"/>
      <c r="AP34" s="149"/>
      <c r="AQ34" s="11"/>
      <c r="AR34" s="11"/>
    </row>
    <row r="35" spans="1:44" ht="19.5">
      <c r="A35" s="82">
        <v>33</v>
      </c>
      <c r="B35" s="83" t="s">
        <v>42</v>
      </c>
      <c r="C35" s="64">
        <f>SUM(D35:F37)</f>
        <v>90</v>
      </c>
      <c r="D35" s="65">
        <f>SUM(G35:AD35)</f>
        <v>36</v>
      </c>
      <c r="E35" s="65"/>
      <c r="F35" s="66"/>
      <c r="G35" s="74">
        <v>2</v>
      </c>
      <c r="H35" s="74">
        <v>2</v>
      </c>
      <c r="I35" s="74">
        <v>2</v>
      </c>
      <c r="J35" s="74">
        <v>2</v>
      </c>
      <c r="K35" s="74">
        <v>2</v>
      </c>
      <c r="L35" s="74">
        <v>2</v>
      </c>
      <c r="M35" s="74">
        <v>2</v>
      </c>
      <c r="N35" s="74">
        <v>2</v>
      </c>
      <c r="O35" s="74">
        <v>2</v>
      </c>
      <c r="P35" s="74">
        <v>2</v>
      </c>
      <c r="Q35" s="74">
        <v>2</v>
      </c>
      <c r="R35" s="74">
        <v>2</v>
      </c>
      <c r="S35" s="74">
        <v>2</v>
      </c>
      <c r="T35" s="74">
        <v>2</v>
      </c>
      <c r="U35" s="74">
        <v>2</v>
      </c>
      <c r="V35" s="74">
        <v>2</v>
      </c>
      <c r="W35" s="74">
        <v>2</v>
      </c>
      <c r="X35" s="66">
        <v>2</v>
      </c>
      <c r="Y35" s="64"/>
      <c r="Z35" s="65"/>
      <c r="AA35" s="65"/>
      <c r="AB35" s="65"/>
      <c r="AC35" s="65"/>
      <c r="AD35" s="65"/>
      <c r="AE35" s="66" t="s">
        <v>19</v>
      </c>
    </row>
    <row r="36" spans="1:44">
      <c r="A36" s="84"/>
      <c r="B36" s="85"/>
      <c r="C36" s="71"/>
      <c r="D36" s="72"/>
      <c r="E36" s="72">
        <f>SUM(G36:AD36)</f>
        <v>50</v>
      </c>
      <c r="F36" s="73"/>
      <c r="G36" s="71">
        <v>4</v>
      </c>
      <c r="H36" s="72">
        <v>2</v>
      </c>
      <c r="I36" s="72">
        <v>4</v>
      </c>
      <c r="J36" s="71">
        <v>2</v>
      </c>
      <c r="K36" s="74">
        <v>4</v>
      </c>
      <c r="L36" s="72">
        <v>2</v>
      </c>
      <c r="M36" s="72">
        <v>4</v>
      </c>
      <c r="N36" s="72">
        <v>2</v>
      </c>
      <c r="O36" s="72">
        <v>4</v>
      </c>
      <c r="P36" s="72">
        <v>2</v>
      </c>
      <c r="Q36" s="71">
        <v>4</v>
      </c>
      <c r="R36" s="71">
        <v>2</v>
      </c>
      <c r="S36" s="72">
        <v>4</v>
      </c>
      <c r="T36" s="72">
        <v>2</v>
      </c>
      <c r="U36" s="72">
        <v>4</v>
      </c>
      <c r="V36" s="72">
        <v>2</v>
      </c>
      <c r="W36" s="72">
        <v>2</v>
      </c>
      <c r="X36" s="73"/>
      <c r="Y36" s="71"/>
      <c r="Z36" s="72"/>
      <c r="AA36" s="72"/>
      <c r="AB36" s="72"/>
      <c r="AC36" s="72"/>
      <c r="AD36" s="72"/>
      <c r="AE36" s="76" t="s">
        <v>25</v>
      </c>
    </row>
    <row r="37" spans="1:44" ht="19.5" thickBot="1">
      <c r="A37" s="88"/>
      <c r="B37" s="89"/>
      <c r="C37" s="79"/>
      <c r="D37" s="80"/>
      <c r="E37" s="80"/>
      <c r="F37" s="81">
        <f>SUM(G37:X37)</f>
        <v>4</v>
      </c>
      <c r="G37" s="79"/>
      <c r="H37" s="80"/>
      <c r="I37" s="80"/>
      <c r="J37" s="79"/>
      <c r="K37" s="86"/>
      <c r="L37" s="87"/>
      <c r="M37" s="87"/>
      <c r="N37" s="87"/>
      <c r="O37" s="87"/>
      <c r="P37" s="87"/>
      <c r="Q37" s="86"/>
      <c r="R37" s="86"/>
      <c r="S37" s="87"/>
      <c r="T37" s="87"/>
      <c r="U37" s="87"/>
      <c r="V37" s="87"/>
      <c r="W37" s="87">
        <v>2</v>
      </c>
      <c r="X37" s="92">
        <v>2</v>
      </c>
      <c r="Y37" s="86"/>
      <c r="Z37" s="87"/>
      <c r="AA37" s="87"/>
      <c r="AB37" s="87"/>
      <c r="AC37" s="87"/>
      <c r="AD37" s="87"/>
      <c r="AE37" s="81">
        <v>36</v>
      </c>
    </row>
    <row r="38" spans="1:44" ht="37.5">
      <c r="A38" s="82">
        <v>33</v>
      </c>
      <c r="B38" s="83" t="s">
        <v>43</v>
      </c>
      <c r="C38" s="64">
        <f>SUM(D38:F40)</f>
        <v>54</v>
      </c>
      <c r="D38" s="65">
        <f>SUM(G38:AD38)</f>
        <v>18</v>
      </c>
      <c r="E38" s="65"/>
      <c r="F38" s="66"/>
      <c r="G38" s="67">
        <v>2</v>
      </c>
      <c r="H38" s="68"/>
      <c r="I38" s="68">
        <v>2</v>
      </c>
      <c r="J38" s="67"/>
      <c r="K38" s="64">
        <v>2</v>
      </c>
      <c r="L38" s="65"/>
      <c r="M38" s="65">
        <v>2</v>
      </c>
      <c r="N38" s="65"/>
      <c r="O38" s="65">
        <v>2</v>
      </c>
      <c r="P38" s="65"/>
      <c r="Q38" s="64">
        <v>2</v>
      </c>
      <c r="R38" s="64"/>
      <c r="S38" s="65">
        <v>2</v>
      </c>
      <c r="T38" s="65"/>
      <c r="U38" s="65">
        <v>2</v>
      </c>
      <c r="V38" s="65"/>
      <c r="W38" s="65">
        <v>2</v>
      </c>
      <c r="X38" s="66"/>
      <c r="Y38" s="64"/>
      <c r="Z38" s="65"/>
      <c r="AA38" s="65"/>
      <c r="AB38" s="65"/>
      <c r="AC38" s="65"/>
      <c r="AD38" s="65"/>
      <c r="AE38" s="66" t="s">
        <v>18</v>
      </c>
    </row>
    <row r="39" spans="1:44">
      <c r="A39" s="84"/>
      <c r="B39" s="85"/>
      <c r="C39" s="71"/>
      <c r="D39" s="72"/>
      <c r="E39" s="72">
        <f>SUM(G39:AD39)</f>
        <v>36</v>
      </c>
      <c r="F39" s="73"/>
      <c r="G39" s="71">
        <v>2</v>
      </c>
      <c r="H39" s="72">
        <v>2</v>
      </c>
      <c r="I39" s="72">
        <v>2</v>
      </c>
      <c r="J39" s="71">
        <v>2</v>
      </c>
      <c r="K39" s="74">
        <v>2</v>
      </c>
      <c r="L39" s="75">
        <v>2</v>
      </c>
      <c r="M39" s="75">
        <v>2</v>
      </c>
      <c r="N39" s="75">
        <v>2</v>
      </c>
      <c r="O39" s="75">
        <v>2</v>
      </c>
      <c r="P39" s="75">
        <v>2</v>
      </c>
      <c r="Q39" s="71">
        <v>2</v>
      </c>
      <c r="R39" s="71">
        <v>2</v>
      </c>
      <c r="S39" s="72">
        <v>2</v>
      </c>
      <c r="T39" s="72">
        <v>2</v>
      </c>
      <c r="U39" s="72">
        <v>2</v>
      </c>
      <c r="V39" s="72">
        <v>2</v>
      </c>
      <c r="W39" s="72">
        <v>2</v>
      </c>
      <c r="X39" s="73">
        <v>2</v>
      </c>
      <c r="Y39" s="71"/>
      <c r="Z39" s="72"/>
      <c r="AA39" s="72"/>
      <c r="AB39" s="72"/>
      <c r="AC39" s="72"/>
      <c r="AD39" s="72"/>
      <c r="AE39" s="76"/>
    </row>
    <row r="40" spans="1:44" ht="19.5" thickBot="1">
      <c r="A40" s="88"/>
      <c r="B40" s="89"/>
      <c r="C40" s="79"/>
      <c r="D40" s="80"/>
      <c r="E40" s="80"/>
      <c r="F40" s="81"/>
      <c r="G40" s="79"/>
      <c r="H40" s="80"/>
      <c r="I40" s="80"/>
      <c r="J40" s="79"/>
      <c r="K40" s="79"/>
      <c r="L40" s="80"/>
      <c r="M40" s="80"/>
      <c r="N40" s="80"/>
      <c r="O40" s="80"/>
      <c r="P40" s="80"/>
      <c r="Q40" s="86"/>
      <c r="R40" s="86"/>
      <c r="S40" s="87"/>
      <c r="T40" s="87"/>
      <c r="U40" s="87"/>
      <c r="V40" s="87"/>
      <c r="W40" s="87"/>
      <c r="X40" s="92"/>
      <c r="Y40" s="86"/>
      <c r="Z40" s="87"/>
      <c r="AA40" s="87"/>
      <c r="AB40" s="87"/>
      <c r="AC40" s="87"/>
      <c r="AD40" s="87"/>
      <c r="AE40" s="81">
        <v>9</v>
      </c>
    </row>
    <row r="41" spans="1:44" ht="37.5">
      <c r="A41" s="82">
        <v>33</v>
      </c>
      <c r="B41" s="83" t="s">
        <v>44</v>
      </c>
      <c r="C41" s="64">
        <f>SUM(D41:F43)</f>
        <v>54</v>
      </c>
      <c r="D41" s="65">
        <f>SUM(G41:AD41)</f>
        <v>18</v>
      </c>
      <c r="E41" s="65"/>
      <c r="F41" s="66"/>
      <c r="G41" s="67">
        <v>2</v>
      </c>
      <c r="H41" s="68"/>
      <c r="I41" s="68">
        <v>2</v>
      </c>
      <c r="J41" s="67"/>
      <c r="K41" s="64">
        <v>2</v>
      </c>
      <c r="L41" s="65"/>
      <c r="M41" s="65">
        <v>2</v>
      </c>
      <c r="N41" s="65"/>
      <c r="O41" s="65">
        <v>2</v>
      </c>
      <c r="P41" s="65"/>
      <c r="Q41" s="64">
        <v>2</v>
      </c>
      <c r="R41" s="64"/>
      <c r="S41" s="65">
        <v>2</v>
      </c>
      <c r="T41" s="65"/>
      <c r="U41" s="65">
        <v>2</v>
      </c>
      <c r="V41" s="65"/>
      <c r="W41" s="65">
        <v>2</v>
      </c>
      <c r="X41" s="66"/>
      <c r="Y41" s="64"/>
      <c r="Z41" s="65"/>
      <c r="AA41" s="65"/>
      <c r="AB41" s="65"/>
      <c r="AC41" s="65"/>
      <c r="AD41" s="65"/>
      <c r="AE41" s="66" t="s">
        <v>18</v>
      </c>
    </row>
    <row r="42" spans="1:44">
      <c r="A42" s="84"/>
      <c r="B42" s="85"/>
      <c r="C42" s="71"/>
      <c r="D42" s="72"/>
      <c r="E42" s="72">
        <f>SUM(G42:AD42)</f>
        <v>36</v>
      </c>
      <c r="F42" s="73"/>
      <c r="G42" s="71">
        <v>2</v>
      </c>
      <c r="H42" s="72">
        <v>2</v>
      </c>
      <c r="I42" s="72">
        <v>2</v>
      </c>
      <c r="J42" s="71">
        <v>2</v>
      </c>
      <c r="K42" s="74">
        <v>2</v>
      </c>
      <c r="L42" s="75">
        <v>2</v>
      </c>
      <c r="M42" s="75">
        <v>2</v>
      </c>
      <c r="N42" s="75">
        <v>2</v>
      </c>
      <c r="O42" s="75">
        <v>2</v>
      </c>
      <c r="P42" s="75">
        <v>2</v>
      </c>
      <c r="Q42" s="71">
        <v>2</v>
      </c>
      <c r="R42" s="71">
        <v>2</v>
      </c>
      <c r="S42" s="72">
        <v>2</v>
      </c>
      <c r="T42" s="72">
        <v>2</v>
      </c>
      <c r="U42" s="72">
        <v>2</v>
      </c>
      <c r="V42" s="72">
        <v>2</v>
      </c>
      <c r="W42" s="72">
        <v>2</v>
      </c>
      <c r="X42" s="73">
        <v>2</v>
      </c>
      <c r="Y42" s="71"/>
      <c r="Z42" s="72"/>
      <c r="AA42" s="72"/>
      <c r="AB42" s="72"/>
      <c r="AC42" s="72"/>
      <c r="AD42" s="72"/>
      <c r="AE42" s="76"/>
    </row>
    <row r="43" spans="1:44" ht="19.5" thickBot="1">
      <c r="A43" s="88"/>
      <c r="B43" s="89"/>
      <c r="C43" s="79"/>
      <c r="D43" s="80"/>
      <c r="E43" s="80"/>
      <c r="F43" s="81"/>
      <c r="G43" s="79"/>
      <c r="H43" s="80"/>
      <c r="I43" s="80"/>
      <c r="J43" s="79"/>
      <c r="K43" s="79"/>
      <c r="L43" s="80"/>
      <c r="M43" s="80"/>
      <c r="N43" s="80"/>
      <c r="O43" s="80"/>
      <c r="P43" s="80"/>
      <c r="Q43" s="86"/>
      <c r="R43" s="86"/>
      <c r="S43" s="87"/>
      <c r="T43" s="87"/>
      <c r="U43" s="87"/>
      <c r="V43" s="87"/>
      <c r="W43" s="87"/>
      <c r="X43" s="92"/>
      <c r="Y43" s="86"/>
      <c r="Z43" s="87"/>
      <c r="AA43" s="87"/>
      <c r="AB43" s="87"/>
      <c r="AC43" s="87"/>
      <c r="AD43" s="87"/>
      <c r="AE43" s="81">
        <v>9</v>
      </c>
    </row>
    <row r="44" spans="1:44" ht="37.5">
      <c r="A44" s="82">
        <v>33</v>
      </c>
      <c r="B44" s="83" t="s">
        <v>45</v>
      </c>
      <c r="C44" s="64">
        <f>SUM(D44:F46)</f>
        <v>54</v>
      </c>
      <c r="D44" s="65">
        <f>SUM(G44:AD44)</f>
        <v>18</v>
      </c>
      <c r="E44" s="65"/>
      <c r="F44" s="66"/>
      <c r="G44" s="67">
        <v>2</v>
      </c>
      <c r="H44" s="68"/>
      <c r="I44" s="68">
        <v>2</v>
      </c>
      <c r="J44" s="67"/>
      <c r="K44" s="64">
        <v>2</v>
      </c>
      <c r="L44" s="65"/>
      <c r="M44" s="65">
        <v>2</v>
      </c>
      <c r="N44" s="65"/>
      <c r="O44" s="65">
        <v>2</v>
      </c>
      <c r="P44" s="65"/>
      <c r="Q44" s="64">
        <v>2</v>
      </c>
      <c r="R44" s="64"/>
      <c r="S44" s="65">
        <v>2</v>
      </c>
      <c r="T44" s="65"/>
      <c r="U44" s="65">
        <v>2</v>
      </c>
      <c r="V44" s="65"/>
      <c r="W44" s="65">
        <v>2</v>
      </c>
      <c r="X44" s="66"/>
      <c r="Y44" s="64"/>
      <c r="Z44" s="65"/>
      <c r="AA44" s="65"/>
      <c r="AB44" s="65"/>
      <c r="AC44" s="65"/>
      <c r="AD44" s="65"/>
      <c r="AE44" s="66" t="s">
        <v>18</v>
      </c>
    </row>
    <row r="45" spans="1:44">
      <c r="A45" s="84"/>
      <c r="B45" s="85"/>
      <c r="C45" s="71"/>
      <c r="D45" s="72"/>
      <c r="E45" s="72">
        <f>SUM(G45:AD45)</f>
        <v>36</v>
      </c>
      <c r="F45" s="73"/>
      <c r="G45" s="71"/>
      <c r="H45" s="72">
        <v>4</v>
      </c>
      <c r="I45" s="72"/>
      <c r="J45" s="71">
        <v>4</v>
      </c>
      <c r="K45" s="74"/>
      <c r="L45" s="75">
        <v>4</v>
      </c>
      <c r="M45" s="75"/>
      <c r="N45" s="75">
        <v>4</v>
      </c>
      <c r="O45" s="75"/>
      <c r="P45" s="75">
        <v>4</v>
      </c>
      <c r="Q45" s="71"/>
      <c r="R45" s="71">
        <v>4</v>
      </c>
      <c r="S45" s="72"/>
      <c r="T45" s="72">
        <v>4</v>
      </c>
      <c r="U45" s="72"/>
      <c r="V45" s="72">
        <v>4</v>
      </c>
      <c r="W45" s="72"/>
      <c r="X45" s="73">
        <v>4</v>
      </c>
      <c r="Y45" s="71"/>
      <c r="Z45" s="72"/>
      <c r="AA45" s="72"/>
      <c r="AB45" s="72"/>
      <c r="AC45" s="72"/>
      <c r="AD45" s="72"/>
      <c r="AE45" s="76"/>
    </row>
    <row r="46" spans="1:44" ht="19.5" thickBot="1">
      <c r="A46" s="88"/>
      <c r="B46" s="89"/>
      <c r="C46" s="79"/>
      <c r="D46" s="80"/>
      <c r="E46" s="80"/>
      <c r="F46" s="81"/>
      <c r="G46" s="79"/>
      <c r="H46" s="80"/>
      <c r="I46" s="80"/>
      <c r="J46" s="79"/>
      <c r="K46" s="79"/>
      <c r="L46" s="80"/>
      <c r="M46" s="80"/>
      <c r="N46" s="80"/>
      <c r="O46" s="80"/>
      <c r="P46" s="80"/>
      <c r="Q46" s="86"/>
      <c r="R46" s="86"/>
      <c r="S46" s="87"/>
      <c r="T46" s="87"/>
      <c r="U46" s="87"/>
      <c r="V46" s="87"/>
      <c r="W46" s="87"/>
      <c r="X46" s="92"/>
      <c r="Y46" s="86"/>
      <c r="Z46" s="87"/>
      <c r="AA46" s="87"/>
      <c r="AB46" s="87"/>
      <c r="AC46" s="87"/>
      <c r="AD46" s="87"/>
      <c r="AE46" s="81">
        <v>9</v>
      </c>
    </row>
    <row r="47" spans="1:44" ht="19.5" thickBot="1">
      <c r="A47" s="143" t="s">
        <v>20</v>
      </c>
      <c r="B47" s="143"/>
      <c r="C47" s="143"/>
      <c r="D47" s="143"/>
      <c r="E47" s="143"/>
      <c r="F47" s="143"/>
      <c r="G47" s="143"/>
      <c r="H47" s="143"/>
      <c r="I47" s="143"/>
      <c r="J47" s="143"/>
      <c r="K47" s="143"/>
      <c r="L47" s="143"/>
      <c r="M47" s="143"/>
      <c r="N47" s="143"/>
      <c r="O47" s="143"/>
      <c r="P47" s="143"/>
      <c r="Q47" s="143"/>
      <c r="R47" s="143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</row>
    <row r="48" spans="1:44" ht="19.5" thickBot="1">
      <c r="A48" s="144" t="s">
        <v>48</v>
      </c>
      <c r="B48" s="145"/>
      <c r="C48" s="145"/>
      <c r="D48" s="145"/>
      <c r="E48" s="145"/>
      <c r="F48" s="145"/>
      <c r="G48" s="145"/>
      <c r="H48" s="145"/>
      <c r="I48" s="145"/>
      <c r="J48" s="145"/>
      <c r="K48" s="145"/>
      <c r="L48" s="145"/>
      <c r="M48" s="145"/>
      <c r="N48" s="145"/>
      <c r="O48" s="145"/>
      <c r="P48" s="145"/>
      <c r="Q48" s="145"/>
      <c r="R48" s="145"/>
      <c r="S48" s="145"/>
      <c r="T48" s="145"/>
      <c r="U48" s="145"/>
      <c r="V48" s="145"/>
      <c r="W48" s="145"/>
      <c r="X48" s="145"/>
      <c r="Y48" s="145"/>
      <c r="Z48" s="145"/>
      <c r="AA48" s="145"/>
      <c r="AB48" s="145"/>
      <c r="AC48" s="145"/>
      <c r="AD48" s="145"/>
      <c r="AE48" s="146"/>
    </row>
    <row r="49" spans="1:44" ht="19.5">
      <c r="A49" s="82">
        <v>33</v>
      </c>
      <c r="B49" s="83" t="s">
        <v>47</v>
      </c>
      <c r="C49" s="64">
        <f t="shared" ref="C49" si="16">SUM(D49:F51)</f>
        <v>36</v>
      </c>
      <c r="D49" s="65">
        <f t="shared" ref="D49" si="17">SUM(G49:X49)</f>
        <v>18</v>
      </c>
      <c r="E49" s="65"/>
      <c r="F49" s="66"/>
      <c r="G49" s="67">
        <v>2</v>
      </c>
      <c r="H49" s="68"/>
      <c r="I49" s="68">
        <v>2</v>
      </c>
      <c r="J49" s="67"/>
      <c r="K49" s="64">
        <v>2</v>
      </c>
      <c r="L49" s="65"/>
      <c r="M49" s="65">
        <v>2</v>
      </c>
      <c r="N49" s="65"/>
      <c r="O49" s="65">
        <v>2</v>
      </c>
      <c r="P49" s="65"/>
      <c r="Q49" s="64">
        <v>2</v>
      </c>
      <c r="R49" s="64"/>
      <c r="S49" s="65">
        <v>2</v>
      </c>
      <c r="T49" s="65"/>
      <c r="U49" s="65">
        <v>2</v>
      </c>
      <c r="V49" s="65"/>
      <c r="W49" s="65">
        <v>2</v>
      </c>
      <c r="X49" s="66"/>
      <c r="Y49" s="64"/>
      <c r="Z49" s="65"/>
      <c r="AA49" s="65"/>
      <c r="AB49" s="65"/>
      <c r="AC49" s="65"/>
      <c r="AD49" s="65"/>
      <c r="AE49" s="66" t="s">
        <v>21</v>
      </c>
    </row>
    <row r="50" spans="1:44">
      <c r="A50" s="84"/>
      <c r="B50" s="85"/>
      <c r="C50" s="71"/>
      <c r="D50" s="72"/>
      <c r="E50" s="72">
        <f t="shared" ref="E50" si="18">SUM(G50:X50)</f>
        <v>18</v>
      </c>
      <c r="F50" s="73"/>
      <c r="G50" s="71"/>
      <c r="H50" s="72">
        <v>2</v>
      </c>
      <c r="I50" s="72"/>
      <c r="J50" s="71">
        <v>2</v>
      </c>
      <c r="K50" s="74"/>
      <c r="L50" s="75">
        <v>2</v>
      </c>
      <c r="M50" s="75"/>
      <c r="N50" s="75">
        <v>2</v>
      </c>
      <c r="O50" s="75"/>
      <c r="P50" s="75">
        <v>2</v>
      </c>
      <c r="Q50" s="71"/>
      <c r="R50" s="71">
        <v>2</v>
      </c>
      <c r="S50" s="72"/>
      <c r="T50" s="72">
        <v>2</v>
      </c>
      <c r="U50" s="72"/>
      <c r="V50" s="72">
        <v>2</v>
      </c>
      <c r="W50" s="72"/>
      <c r="X50" s="73">
        <v>2</v>
      </c>
      <c r="Y50" s="71"/>
      <c r="Z50" s="72"/>
      <c r="AA50" s="72"/>
      <c r="AB50" s="72"/>
      <c r="AC50" s="72"/>
      <c r="AD50" s="72"/>
      <c r="AE50" s="76"/>
    </row>
    <row r="51" spans="1:44" ht="19.5" thickBot="1">
      <c r="A51" s="98"/>
      <c r="B51" s="89"/>
      <c r="C51" s="79"/>
      <c r="D51" s="80"/>
      <c r="E51" s="80"/>
      <c r="F51" s="81">
        <f t="shared" ref="F51" si="19">SUM(G51:X51)</f>
        <v>0</v>
      </c>
      <c r="G51" s="102"/>
      <c r="H51" s="103"/>
      <c r="I51" s="103"/>
      <c r="J51" s="102"/>
      <c r="K51" s="102"/>
      <c r="L51" s="103"/>
      <c r="M51" s="103"/>
      <c r="N51" s="103"/>
      <c r="O51" s="103"/>
      <c r="P51" s="103"/>
      <c r="Q51" s="104"/>
      <c r="R51" s="104"/>
      <c r="S51" s="105"/>
      <c r="T51" s="105"/>
      <c r="U51" s="105"/>
      <c r="V51" s="105"/>
      <c r="W51" s="105"/>
      <c r="X51" s="106"/>
      <c r="Y51" s="86"/>
      <c r="Z51" s="87"/>
      <c r="AA51" s="87"/>
      <c r="AB51" s="87"/>
      <c r="AC51" s="87"/>
      <c r="AD51" s="87"/>
      <c r="AE51" s="81">
        <v>36</v>
      </c>
    </row>
    <row r="52" spans="1:44" s="4" customFormat="1" ht="19.5" thickBot="1">
      <c r="A52" s="144" t="s">
        <v>49</v>
      </c>
      <c r="B52" s="145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5"/>
      <c r="V52" s="145"/>
      <c r="W52" s="145"/>
      <c r="X52" s="145"/>
      <c r="Y52" s="145"/>
      <c r="Z52" s="145"/>
      <c r="AA52" s="145"/>
      <c r="AB52" s="145"/>
      <c r="AC52" s="145"/>
      <c r="AD52" s="145"/>
      <c r="AE52" s="146"/>
      <c r="AM52" s="11"/>
      <c r="AN52" s="11"/>
      <c r="AO52" s="11"/>
      <c r="AP52" s="11"/>
      <c r="AQ52" s="11"/>
      <c r="AR52" s="11"/>
    </row>
    <row r="53" spans="1:44" ht="19.5">
      <c r="A53" s="82">
        <v>33</v>
      </c>
      <c r="B53" s="83" t="s">
        <v>47</v>
      </c>
      <c r="C53" s="64">
        <f t="shared" ref="C53" si="20">SUM(D53:F55)</f>
        <v>32</v>
      </c>
      <c r="D53" s="65">
        <f t="shared" ref="D53" si="21">SUM(G53:X53)</f>
        <v>16</v>
      </c>
      <c r="E53" s="65"/>
      <c r="F53" s="66"/>
      <c r="G53" s="67">
        <v>2</v>
      </c>
      <c r="H53" s="68"/>
      <c r="I53" s="68">
        <v>2</v>
      </c>
      <c r="J53" s="67"/>
      <c r="K53" s="64">
        <v>2</v>
      </c>
      <c r="L53" s="65"/>
      <c r="M53" s="65">
        <v>2</v>
      </c>
      <c r="N53" s="65"/>
      <c r="O53" s="65">
        <v>2</v>
      </c>
      <c r="P53" s="65"/>
      <c r="Q53" s="64">
        <v>2</v>
      </c>
      <c r="R53" s="64"/>
      <c r="S53" s="65">
        <v>2</v>
      </c>
      <c r="T53" s="65"/>
      <c r="U53" s="65">
        <v>2</v>
      </c>
      <c r="V53" s="66"/>
      <c r="W53" s="64"/>
      <c r="X53" s="65"/>
      <c r="Y53" s="64"/>
      <c r="Z53" s="65"/>
      <c r="AA53" s="65"/>
      <c r="AB53" s="65"/>
      <c r="AC53" s="65"/>
      <c r="AD53" s="65"/>
      <c r="AE53" s="66" t="s">
        <v>18</v>
      </c>
    </row>
    <row r="54" spans="1:44">
      <c r="A54" s="84"/>
      <c r="B54" s="85"/>
      <c r="C54" s="71"/>
      <c r="D54" s="72"/>
      <c r="E54" s="72">
        <f t="shared" ref="E54" si="22">SUM(G54:X54)</f>
        <v>12</v>
      </c>
      <c r="F54" s="73"/>
      <c r="G54" s="71"/>
      <c r="H54" s="72">
        <v>2</v>
      </c>
      <c r="I54" s="72"/>
      <c r="J54" s="71">
        <v>2</v>
      </c>
      <c r="K54" s="74"/>
      <c r="L54" s="75">
        <v>2</v>
      </c>
      <c r="M54" s="75"/>
      <c r="N54" s="75">
        <v>2</v>
      </c>
      <c r="O54" s="75"/>
      <c r="P54" s="75">
        <v>2</v>
      </c>
      <c r="Q54" s="71"/>
      <c r="R54" s="71">
        <v>2</v>
      </c>
      <c r="S54" s="72"/>
      <c r="T54" s="72"/>
      <c r="U54" s="72"/>
      <c r="V54" s="73"/>
      <c r="W54" s="71"/>
      <c r="X54" s="72"/>
      <c r="Y54" s="71"/>
      <c r="Z54" s="72"/>
      <c r="AA54" s="72"/>
      <c r="AB54" s="72"/>
      <c r="AC54" s="72"/>
      <c r="AD54" s="72"/>
      <c r="AE54" s="76"/>
    </row>
    <row r="55" spans="1:44" ht="19.5" thickBot="1">
      <c r="A55" s="98"/>
      <c r="B55" s="89"/>
      <c r="C55" s="79"/>
      <c r="D55" s="80"/>
      <c r="E55" s="80"/>
      <c r="F55" s="81">
        <f t="shared" ref="F55" si="23">SUM(G55:X55)</f>
        <v>4</v>
      </c>
      <c r="G55" s="79"/>
      <c r="H55" s="80"/>
      <c r="I55" s="80"/>
      <c r="J55" s="79"/>
      <c r="K55" s="79"/>
      <c r="L55" s="80"/>
      <c r="M55" s="80"/>
      <c r="N55" s="80"/>
      <c r="O55" s="80"/>
      <c r="P55" s="80"/>
      <c r="Q55" s="86"/>
      <c r="R55" s="86"/>
      <c r="S55" s="87"/>
      <c r="T55" s="87">
        <v>2</v>
      </c>
      <c r="U55" s="87"/>
      <c r="V55" s="92">
        <v>2</v>
      </c>
      <c r="W55" s="86"/>
      <c r="X55" s="87"/>
      <c r="Y55" s="86"/>
      <c r="Z55" s="87"/>
      <c r="AA55" s="87"/>
      <c r="AB55" s="87"/>
      <c r="AC55" s="87"/>
      <c r="AD55" s="87"/>
      <c r="AE55" s="81">
        <v>9</v>
      </c>
    </row>
    <row r="56" spans="1:44" s="4" customFormat="1" ht="19.5" thickBot="1">
      <c r="A56" s="144" t="s">
        <v>51</v>
      </c>
      <c r="B56" s="145"/>
      <c r="C56" s="145"/>
      <c r="D56" s="145"/>
      <c r="E56" s="145"/>
      <c r="F56" s="145"/>
      <c r="G56" s="145"/>
      <c r="H56" s="145"/>
      <c r="I56" s="145"/>
      <c r="J56" s="145"/>
      <c r="K56" s="145"/>
      <c r="L56" s="145"/>
      <c r="M56" s="145"/>
      <c r="N56" s="145"/>
      <c r="O56" s="145"/>
      <c r="P56" s="145"/>
      <c r="Q56" s="145"/>
      <c r="R56" s="145"/>
      <c r="S56" s="145"/>
      <c r="T56" s="145"/>
      <c r="U56" s="145"/>
      <c r="V56" s="145"/>
      <c r="W56" s="145"/>
      <c r="X56" s="145"/>
      <c r="Y56" s="145"/>
      <c r="Z56" s="145"/>
      <c r="AA56" s="145"/>
      <c r="AB56" s="145"/>
      <c r="AC56" s="145"/>
      <c r="AD56" s="145"/>
      <c r="AE56" s="146"/>
    </row>
    <row r="57" spans="1:44" ht="19.5">
      <c r="A57" s="82">
        <v>33</v>
      </c>
      <c r="B57" s="83" t="s">
        <v>50</v>
      </c>
      <c r="C57" s="64">
        <f t="shared" ref="C57" si="24">SUM(D57:F59)</f>
        <v>36</v>
      </c>
      <c r="D57" s="65">
        <f t="shared" ref="D57" si="25">SUM(G57:X57)</f>
        <v>18</v>
      </c>
      <c r="E57" s="65"/>
      <c r="F57" s="66"/>
      <c r="G57" s="67">
        <v>2</v>
      </c>
      <c r="H57" s="68"/>
      <c r="I57" s="68">
        <v>2</v>
      </c>
      <c r="J57" s="67"/>
      <c r="K57" s="64">
        <v>2</v>
      </c>
      <c r="L57" s="65"/>
      <c r="M57" s="65">
        <v>2</v>
      </c>
      <c r="N57" s="65"/>
      <c r="O57" s="65">
        <v>2</v>
      </c>
      <c r="P57" s="65"/>
      <c r="Q57" s="64">
        <v>2</v>
      </c>
      <c r="R57" s="64"/>
      <c r="S57" s="65">
        <v>2</v>
      </c>
      <c r="T57" s="65"/>
      <c r="U57" s="65">
        <v>2</v>
      </c>
      <c r="V57" s="65"/>
      <c r="W57" s="65">
        <v>2</v>
      </c>
      <c r="X57" s="66"/>
      <c r="Y57" s="64"/>
      <c r="Z57" s="65"/>
      <c r="AA57" s="65"/>
      <c r="AB57" s="65"/>
      <c r="AC57" s="65"/>
      <c r="AD57" s="65"/>
      <c r="AE57" s="66" t="s">
        <v>18</v>
      </c>
    </row>
    <row r="58" spans="1:44">
      <c r="A58" s="84"/>
      <c r="B58" s="85"/>
      <c r="C58" s="71"/>
      <c r="D58" s="72"/>
      <c r="E58" s="72">
        <f t="shared" ref="E58" si="26">SUM(G58:X58)</f>
        <v>18</v>
      </c>
      <c r="F58" s="73"/>
      <c r="G58" s="71"/>
      <c r="H58" s="71">
        <v>2</v>
      </c>
      <c r="I58" s="71"/>
      <c r="J58" s="71">
        <v>2</v>
      </c>
      <c r="K58" s="71"/>
      <c r="L58" s="71">
        <v>2</v>
      </c>
      <c r="M58" s="71"/>
      <c r="N58" s="71">
        <v>2</v>
      </c>
      <c r="O58" s="71"/>
      <c r="P58" s="71">
        <v>2</v>
      </c>
      <c r="Q58" s="71"/>
      <c r="R58" s="71">
        <v>2</v>
      </c>
      <c r="S58" s="71"/>
      <c r="T58" s="71">
        <v>2</v>
      </c>
      <c r="U58" s="71"/>
      <c r="V58" s="71">
        <v>2</v>
      </c>
      <c r="W58" s="71"/>
      <c r="X58" s="90">
        <v>2</v>
      </c>
      <c r="Y58" s="91"/>
      <c r="Z58" s="72"/>
      <c r="AA58" s="72"/>
      <c r="AB58" s="72"/>
      <c r="AC58" s="72"/>
      <c r="AD58" s="72"/>
      <c r="AE58" s="76"/>
    </row>
    <row r="59" spans="1:44" ht="19.5" thickBot="1">
      <c r="A59" s="98"/>
      <c r="B59" s="89"/>
      <c r="C59" s="79"/>
      <c r="D59" s="80"/>
      <c r="E59" s="80"/>
      <c r="F59" s="81">
        <f t="shared" ref="F59" si="27">SUM(G59:X59)</f>
        <v>0</v>
      </c>
      <c r="G59" s="79"/>
      <c r="H59" s="80"/>
      <c r="I59" s="80"/>
      <c r="J59" s="79"/>
      <c r="K59" s="79"/>
      <c r="L59" s="80"/>
      <c r="M59" s="80"/>
      <c r="N59" s="80"/>
      <c r="O59" s="80"/>
      <c r="P59" s="80"/>
      <c r="Q59" s="79"/>
      <c r="R59" s="79"/>
      <c r="S59" s="80"/>
      <c r="T59" s="80"/>
      <c r="U59" s="80"/>
      <c r="V59" s="80"/>
      <c r="W59" s="80"/>
      <c r="X59" s="92"/>
      <c r="Y59" s="79"/>
      <c r="Z59" s="80"/>
      <c r="AA59" s="80"/>
      <c r="AB59" s="80"/>
      <c r="AC59" s="80"/>
      <c r="AD59" s="80"/>
      <c r="AE59" s="81">
        <v>9</v>
      </c>
    </row>
    <row r="60" spans="1:44" s="4" customFormat="1" ht="19.5" thickBot="1">
      <c r="A60" s="144" t="s">
        <v>53</v>
      </c>
      <c r="B60" s="145"/>
      <c r="C60" s="145"/>
      <c r="D60" s="145"/>
      <c r="E60" s="145"/>
      <c r="F60" s="145"/>
      <c r="G60" s="145"/>
      <c r="H60" s="145"/>
      <c r="I60" s="145"/>
      <c r="J60" s="145"/>
      <c r="K60" s="145"/>
      <c r="L60" s="145"/>
      <c r="M60" s="145"/>
      <c r="N60" s="145"/>
      <c r="O60" s="145"/>
      <c r="P60" s="145"/>
      <c r="Q60" s="145"/>
      <c r="R60" s="145"/>
      <c r="S60" s="145"/>
      <c r="T60" s="145"/>
      <c r="U60" s="145"/>
      <c r="V60" s="145"/>
      <c r="W60" s="145"/>
      <c r="X60" s="145"/>
      <c r="Y60" s="145"/>
      <c r="Z60" s="145"/>
      <c r="AA60" s="145"/>
      <c r="AB60" s="145"/>
      <c r="AC60" s="145"/>
      <c r="AD60" s="145"/>
      <c r="AE60" s="146"/>
      <c r="AM60" s="12"/>
      <c r="AN60" s="96"/>
      <c r="AO60" s="149"/>
      <c r="AP60" s="149"/>
      <c r="AQ60" s="11"/>
      <c r="AR60" s="11"/>
    </row>
    <row r="61" spans="1:44" s="4" customFormat="1" ht="19.5">
      <c r="A61" s="82">
        <v>33</v>
      </c>
      <c r="B61" s="83" t="s">
        <v>52</v>
      </c>
      <c r="C61" s="64">
        <f t="shared" ref="C61" si="28">SUM(D61:F63)</f>
        <v>72</v>
      </c>
      <c r="D61" s="65">
        <f t="shared" ref="D61" si="29">SUM(G61:X61)</f>
        <v>18</v>
      </c>
      <c r="E61" s="65"/>
      <c r="F61" s="66"/>
      <c r="G61" s="67">
        <v>2</v>
      </c>
      <c r="H61" s="68"/>
      <c r="I61" s="68">
        <v>2</v>
      </c>
      <c r="J61" s="67"/>
      <c r="K61" s="64">
        <v>2</v>
      </c>
      <c r="L61" s="65"/>
      <c r="M61" s="65">
        <v>2</v>
      </c>
      <c r="N61" s="65"/>
      <c r="O61" s="65">
        <v>2</v>
      </c>
      <c r="P61" s="65"/>
      <c r="Q61" s="64">
        <v>2</v>
      </c>
      <c r="R61" s="64"/>
      <c r="S61" s="65">
        <v>2</v>
      </c>
      <c r="T61" s="65"/>
      <c r="U61" s="65">
        <v>2</v>
      </c>
      <c r="V61" s="65"/>
      <c r="W61" s="65">
        <v>2</v>
      </c>
      <c r="X61" s="66"/>
      <c r="Y61" s="64"/>
      <c r="Z61" s="65"/>
      <c r="AA61" s="65"/>
      <c r="AB61" s="65"/>
      <c r="AC61" s="65"/>
      <c r="AD61" s="65"/>
      <c r="AE61" s="66" t="s">
        <v>22</v>
      </c>
      <c r="AM61" s="11"/>
      <c r="AN61" s="11"/>
      <c r="AO61" s="11"/>
      <c r="AP61" s="11"/>
      <c r="AQ61" s="11"/>
      <c r="AR61" s="11"/>
    </row>
    <row r="62" spans="1:44" s="4" customFormat="1">
      <c r="A62" s="84"/>
      <c r="B62" s="85"/>
      <c r="C62" s="71"/>
      <c r="D62" s="72"/>
      <c r="E62" s="72">
        <f t="shared" ref="E62" si="30">SUM(G62:X62)</f>
        <v>54</v>
      </c>
      <c r="F62" s="73"/>
      <c r="G62" s="71">
        <v>2</v>
      </c>
      <c r="H62" s="71">
        <v>4</v>
      </c>
      <c r="I62" s="71">
        <v>2</v>
      </c>
      <c r="J62" s="71">
        <v>4</v>
      </c>
      <c r="K62" s="71">
        <v>2</v>
      </c>
      <c r="L62" s="71">
        <v>4</v>
      </c>
      <c r="M62" s="71">
        <v>2</v>
      </c>
      <c r="N62" s="71">
        <v>4</v>
      </c>
      <c r="O62" s="71">
        <v>2</v>
      </c>
      <c r="P62" s="71">
        <v>4</v>
      </c>
      <c r="Q62" s="71">
        <v>2</v>
      </c>
      <c r="R62" s="71">
        <v>4</v>
      </c>
      <c r="S62" s="71">
        <v>2</v>
      </c>
      <c r="T62" s="71">
        <v>4</v>
      </c>
      <c r="U62" s="71">
        <v>2</v>
      </c>
      <c r="V62" s="71">
        <v>4</v>
      </c>
      <c r="W62" s="71">
        <v>2</v>
      </c>
      <c r="X62" s="73">
        <v>4</v>
      </c>
      <c r="Y62" s="71"/>
      <c r="Z62" s="72"/>
      <c r="AA62" s="72"/>
      <c r="AB62" s="72"/>
      <c r="AC62" s="72"/>
      <c r="AD62" s="72"/>
      <c r="AE62" s="76"/>
      <c r="AM62" s="12"/>
      <c r="AN62" s="96"/>
      <c r="AO62" s="149"/>
      <c r="AP62" s="149"/>
      <c r="AQ62" s="11"/>
      <c r="AR62" s="11"/>
    </row>
    <row r="63" spans="1:44" s="4" customFormat="1" ht="19.5" thickBot="1">
      <c r="A63" s="98"/>
      <c r="B63" s="89"/>
      <c r="C63" s="79"/>
      <c r="D63" s="80"/>
      <c r="E63" s="80"/>
      <c r="F63" s="81">
        <f t="shared" ref="F63" si="31">SUM(G63:X63)</f>
        <v>0</v>
      </c>
      <c r="G63" s="79"/>
      <c r="H63" s="80"/>
      <c r="I63" s="80"/>
      <c r="J63" s="79"/>
      <c r="K63" s="79"/>
      <c r="L63" s="80"/>
      <c r="M63" s="80"/>
      <c r="N63" s="80"/>
      <c r="O63" s="80"/>
      <c r="P63" s="80"/>
      <c r="Q63" s="86"/>
      <c r="R63" s="86"/>
      <c r="S63" s="87"/>
      <c r="T63" s="87"/>
      <c r="U63" s="87"/>
      <c r="V63" s="87"/>
      <c r="W63" s="87"/>
      <c r="X63" s="92"/>
      <c r="Y63" s="86"/>
      <c r="Z63" s="87"/>
      <c r="AA63" s="87"/>
      <c r="AB63" s="87"/>
      <c r="AC63" s="87"/>
      <c r="AD63" s="87"/>
      <c r="AE63" s="81">
        <v>18</v>
      </c>
      <c r="AM63" s="12"/>
      <c r="AN63" s="96"/>
      <c r="AO63" s="149"/>
      <c r="AP63" s="149"/>
      <c r="AQ63" s="11"/>
      <c r="AR63" s="11"/>
    </row>
    <row r="64" spans="1:44" s="4" customFormat="1" ht="19.5" thickBot="1">
      <c r="A64" s="144" t="s">
        <v>60</v>
      </c>
      <c r="B64" s="145"/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5"/>
      <c r="P64" s="145"/>
      <c r="Q64" s="145"/>
      <c r="R64" s="145"/>
      <c r="S64" s="145"/>
      <c r="T64" s="145"/>
      <c r="U64" s="145"/>
      <c r="V64" s="145"/>
      <c r="W64" s="145"/>
      <c r="X64" s="145"/>
      <c r="Y64" s="145"/>
      <c r="Z64" s="145"/>
      <c r="AA64" s="145"/>
      <c r="AB64" s="145"/>
      <c r="AC64" s="145"/>
      <c r="AD64" s="145"/>
      <c r="AE64" s="146"/>
      <c r="AM64" s="12"/>
      <c r="AN64" s="96"/>
      <c r="AO64" s="149"/>
      <c r="AP64" s="149"/>
      <c r="AQ64" s="11"/>
      <c r="AR64" s="11"/>
    </row>
    <row r="65" spans="1:44" s="4" customFormat="1" ht="19.5">
      <c r="A65" s="62">
        <v>33</v>
      </c>
      <c r="B65" s="63" t="s">
        <v>54</v>
      </c>
      <c r="C65" s="64">
        <f t="shared" ref="C65" si="32">SUM(D65:F67)</f>
        <v>72</v>
      </c>
      <c r="D65" s="65">
        <f t="shared" ref="D65" si="33">SUM(G65:AD65)</f>
        <v>18</v>
      </c>
      <c r="E65" s="65"/>
      <c r="F65" s="66"/>
      <c r="G65" s="67">
        <v>2</v>
      </c>
      <c r="H65" s="68"/>
      <c r="I65" s="68">
        <v>2</v>
      </c>
      <c r="J65" s="67"/>
      <c r="K65" s="64">
        <v>2</v>
      </c>
      <c r="L65" s="65"/>
      <c r="M65" s="65">
        <v>2</v>
      </c>
      <c r="N65" s="65"/>
      <c r="O65" s="65">
        <v>2</v>
      </c>
      <c r="P65" s="65"/>
      <c r="Q65" s="64">
        <v>2</v>
      </c>
      <c r="R65" s="64"/>
      <c r="S65" s="65">
        <v>2</v>
      </c>
      <c r="T65" s="65"/>
      <c r="U65" s="65">
        <v>2</v>
      </c>
      <c r="V65" s="65"/>
      <c r="W65" s="65">
        <v>2</v>
      </c>
      <c r="X65" s="65"/>
      <c r="Y65" s="65"/>
      <c r="Z65" s="65"/>
      <c r="AA65" s="65"/>
      <c r="AB65" s="65"/>
      <c r="AC65" s="65"/>
      <c r="AD65" s="65"/>
      <c r="AE65" s="66" t="s">
        <v>19</v>
      </c>
    </row>
    <row r="66" spans="1:44" s="4" customFormat="1" ht="19.5">
      <c r="A66" s="69"/>
      <c r="B66" s="70"/>
      <c r="C66" s="71"/>
      <c r="D66" s="72"/>
      <c r="E66" s="72">
        <f t="shared" ref="E66" si="34">SUM(G66:AD66)</f>
        <v>54</v>
      </c>
      <c r="F66" s="73"/>
      <c r="G66" s="71">
        <v>2</v>
      </c>
      <c r="H66" s="71">
        <v>4</v>
      </c>
      <c r="I66" s="71">
        <v>2</v>
      </c>
      <c r="J66" s="71">
        <v>4</v>
      </c>
      <c r="K66" s="71">
        <v>2</v>
      </c>
      <c r="L66" s="71">
        <v>4</v>
      </c>
      <c r="M66" s="71">
        <v>2</v>
      </c>
      <c r="N66" s="71">
        <v>4</v>
      </c>
      <c r="O66" s="71">
        <v>2</v>
      </c>
      <c r="P66" s="71">
        <v>4</v>
      </c>
      <c r="Q66" s="71">
        <v>2</v>
      </c>
      <c r="R66" s="71">
        <v>4</v>
      </c>
      <c r="S66" s="71">
        <v>2</v>
      </c>
      <c r="T66" s="71">
        <v>4</v>
      </c>
      <c r="U66" s="71">
        <v>2</v>
      </c>
      <c r="V66" s="71">
        <v>4</v>
      </c>
      <c r="W66" s="71">
        <v>2</v>
      </c>
      <c r="X66" s="71">
        <v>4</v>
      </c>
      <c r="Y66" s="72"/>
      <c r="Z66" s="72"/>
      <c r="AA66" s="72"/>
      <c r="AB66" s="72"/>
      <c r="AC66" s="72"/>
      <c r="AD66" s="72"/>
      <c r="AE66" s="76" t="s">
        <v>25</v>
      </c>
    </row>
    <row r="67" spans="1:44" s="4" customFormat="1" ht="21.75" customHeight="1" thickBot="1">
      <c r="A67" s="77"/>
      <c r="B67" s="78"/>
      <c r="C67" s="79"/>
      <c r="D67" s="80"/>
      <c r="E67" s="80"/>
      <c r="F67" s="81">
        <f t="shared" ref="F67" si="35">SUM(G67:AD67)</f>
        <v>0</v>
      </c>
      <c r="G67" s="79"/>
      <c r="H67" s="80"/>
      <c r="I67" s="80"/>
      <c r="J67" s="79"/>
      <c r="K67" s="79"/>
      <c r="L67" s="80"/>
      <c r="M67" s="80"/>
      <c r="N67" s="80"/>
      <c r="O67" s="80"/>
      <c r="P67" s="80"/>
      <c r="Q67" s="79"/>
      <c r="R67" s="79"/>
      <c r="S67" s="80"/>
      <c r="T67" s="80"/>
      <c r="U67" s="80"/>
      <c r="V67" s="80"/>
      <c r="W67" s="80"/>
      <c r="X67" s="80"/>
      <c r="Y67" s="80"/>
      <c r="Z67" s="80"/>
      <c r="AA67" s="80"/>
      <c r="AB67" s="80"/>
      <c r="AC67" s="80"/>
      <c r="AD67" s="80"/>
      <c r="AE67" s="81">
        <v>36</v>
      </c>
      <c r="AM67" s="11"/>
      <c r="AN67" s="11"/>
      <c r="AO67" s="11"/>
      <c r="AP67" s="11"/>
      <c r="AQ67" s="11"/>
      <c r="AR67" s="11"/>
    </row>
    <row r="68" spans="1:44" s="4" customFormat="1" ht="19.5">
      <c r="A68" s="82">
        <v>33</v>
      </c>
      <c r="B68" s="83" t="s">
        <v>52</v>
      </c>
      <c r="C68" s="64">
        <f t="shared" ref="C68" si="36">SUM(D68:F70)</f>
        <v>126</v>
      </c>
      <c r="D68" s="65">
        <f t="shared" ref="D68" si="37">SUM(G68:AD68)</f>
        <v>54</v>
      </c>
      <c r="E68" s="65"/>
      <c r="F68" s="66"/>
      <c r="G68" s="64">
        <v>4</v>
      </c>
      <c r="H68" s="65">
        <v>2</v>
      </c>
      <c r="I68" s="65">
        <v>4</v>
      </c>
      <c r="J68" s="64">
        <v>2</v>
      </c>
      <c r="K68" s="64">
        <v>4</v>
      </c>
      <c r="L68" s="65">
        <v>2</v>
      </c>
      <c r="M68" s="65">
        <v>4</v>
      </c>
      <c r="N68" s="65">
        <v>2</v>
      </c>
      <c r="O68" s="65">
        <v>4</v>
      </c>
      <c r="P68" s="65">
        <v>2</v>
      </c>
      <c r="Q68" s="64">
        <v>4</v>
      </c>
      <c r="R68" s="64">
        <v>2</v>
      </c>
      <c r="S68" s="65">
        <v>4</v>
      </c>
      <c r="T68" s="65">
        <v>2</v>
      </c>
      <c r="U68" s="65">
        <v>4</v>
      </c>
      <c r="V68" s="65">
        <v>2</v>
      </c>
      <c r="W68" s="65">
        <v>4</v>
      </c>
      <c r="X68" s="65">
        <v>2</v>
      </c>
      <c r="Y68" s="65"/>
      <c r="Z68" s="65"/>
      <c r="AA68" s="65"/>
      <c r="AB68" s="65"/>
      <c r="AC68" s="65"/>
      <c r="AD68" s="65"/>
      <c r="AE68" s="66" t="s">
        <v>19</v>
      </c>
      <c r="AM68" s="11"/>
      <c r="AN68" s="11"/>
      <c r="AO68" s="11"/>
      <c r="AP68" s="11"/>
      <c r="AQ68" s="11"/>
      <c r="AR68" s="11"/>
    </row>
    <row r="69" spans="1:44" s="4" customFormat="1">
      <c r="A69" s="84"/>
      <c r="B69" s="85"/>
      <c r="C69" s="71"/>
      <c r="D69" s="72"/>
      <c r="E69" s="72">
        <f t="shared" ref="E69" si="38">SUM(G69:AD69)</f>
        <v>72</v>
      </c>
      <c r="F69" s="73"/>
      <c r="G69" s="71">
        <v>4</v>
      </c>
      <c r="H69" s="71">
        <v>4</v>
      </c>
      <c r="I69" s="71">
        <v>4</v>
      </c>
      <c r="J69" s="71">
        <v>4</v>
      </c>
      <c r="K69" s="71">
        <v>4</v>
      </c>
      <c r="L69" s="71">
        <v>4</v>
      </c>
      <c r="M69" s="71">
        <v>4</v>
      </c>
      <c r="N69" s="71">
        <v>4</v>
      </c>
      <c r="O69" s="71">
        <v>4</v>
      </c>
      <c r="P69" s="71">
        <v>4</v>
      </c>
      <c r="Q69" s="71">
        <v>4</v>
      </c>
      <c r="R69" s="71">
        <v>4</v>
      </c>
      <c r="S69" s="71">
        <v>4</v>
      </c>
      <c r="T69" s="71">
        <v>4</v>
      </c>
      <c r="U69" s="71">
        <v>4</v>
      </c>
      <c r="V69" s="71">
        <v>4</v>
      </c>
      <c r="W69" s="71">
        <v>4</v>
      </c>
      <c r="X69" s="71">
        <v>4</v>
      </c>
      <c r="Y69" s="72"/>
      <c r="Z69" s="72"/>
      <c r="AA69" s="72"/>
      <c r="AB69" s="72"/>
      <c r="AC69" s="72"/>
      <c r="AD69" s="72"/>
      <c r="AE69" s="76"/>
      <c r="AM69" s="12"/>
      <c r="AN69" s="96"/>
      <c r="AO69" s="149"/>
      <c r="AP69" s="149"/>
      <c r="AQ69" s="11"/>
      <c r="AR69" s="11"/>
    </row>
    <row r="70" spans="1:44" s="4" customFormat="1" ht="19.5" thickBot="1">
      <c r="A70" s="88"/>
      <c r="B70" s="89"/>
      <c r="C70" s="79"/>
      <c r="D70" s="80"/>
      <c r="E70" s="80"/>
      <c r="F70" s="81">
        <f t="shared" ref="F70" si="39">SUM(G70:AD70)</f>
        <v>0</v>
      </c>
      <c r="G70" s="79"/>
      <c r="H70" s="80"/>
      <c r="I70" s="80"/>
      <c r="J70" s="79"/>
      <c r="K70" s="86"/>
      <c r="L70" s="87"/>
      <c r="M70" s="87"/>
      <c r="N70" s="87"/>
      <c r="O70" s="87"/>
      <c r="P70" s="87"/>
      <c r="Q70" s="86"/>
      <c r="R70" s="86"/>
      <c r="S70" s="87"/>
      <c r="T70" s="87"/>
      <c r="U70" s="87"/>
      <c r="V70" s="87"/>
      <c r="W70" s="87"/>
      <c r="X70" s="87"/>
      <c r="Y70" s="87"/>
      <c r="Z70" s="87"/>
      <c r="AA70" s="87"/>
      <c r="AB70" s="87"/>
      <c r="AC70" s="87"/>
      <c r="AD70" s="87"/>
      <c r="AE70" s="81">
        <v>36</v>
      </c>
      <c r="AM70" s="12"/>
      <c r="AN70" s="96"/>
      <c r="AO70" s="149"/>
      <c r="AP70" s="149"/>
      <c r="AQ70" s="11"/>
      <c r="AR70" s="11"/>
    </row>
    <row r="71" spans="1:44" s="4" customFormat="1" ht="19.5">
      <c r="A71" s="82">
        <v>33</v>
      </c>
      <c r="B71" s="83" t="s">
        <v>55</v>
      </c>
      <c r="C71" s="64">
        <f t="shared" ref="C71" si="40">SUM(D71:F73)</f>
        <v>54</v>
      </c>
      <c r="D71" s="65">
        <f t="shared" ref="D71" si="41">SUM(G71:AD71)</f>
        <v>18</v>
      </c>
      <c r="E71" s="65"/>
      <c r="F71" s="66"/>
      <c r="G71" s="67">
        <v>2</v>
      </c>
      <c r="H71" s="68"/>
      <c r="I71" s="68">
        <v>2</v>
      </c>
      <c r="J71" s="67"/>
      <c r="K71" s="64">
        <v>2</v>
      </c>
      <c r="L71" s="65"/>
      <c r="M71" s="65">
        <v>2</v>
      </c>
      <c r="N71" s="65"/>
      <c r="O71" s="65">
        <v>2</v>
      </c>
      <c r="P71" s="65"/>
      <c r="Q71" s="64">
        <v>2</v>
      </c>
      <c r="R71" s="64"/>
      <c r="S71" s="65">
        <v>2</v>
      </c>
      <c r="T71" s="65"/>
      <c r="U71" s="65">
        <v>2</v>
      </c>
      <c r="V71" s="65"/>
      <c r="W71" s="65">
        <v>2</v>
      </c>
      <c r="X71" s="65"/>
      <c r="Y71" s="65"/>
      <c r="Z71" s="65"/>
      <c r="AA71" s="65"/>
      <c r="AB71" s="65"/>
      <c r="AC71" s="65"/>
      <c r="AD71" s="65"/>
      <c r="AE71" s="66" t="s">
        <v>19</v>
      </c>
      <c r="AM71" s="11"/>
      <c r="AN71" s="11"/>
      <c r="AO71" s="11"/>
      <c r="AP71" s="11"/>
      <c r="AQ71" s="11"/>
      <c r="AR71" s="11"/>
    </row>
    <row r="72" spans="1:44" s="4" customFormat="1">
      <c r="A72" s="84"/>
      <c r="B72" s="85"/>
      <c r="C72" s="71"/>
      <c r="D72" s="72"/>
      <c r="E72" s="72">
        <f t="shared" ref="E72" si="42">SUM(G72:AD72)</f>
        <v>36</v>
      </c>
      <c r="F72" s="73"/>
      <c r="G72" s="71">
        <v>2</v>
      </c>
      <c r="H72" s="71">
        <v>2</v>
      </c>
      <c r="I72" s="71">
        <v>2</v>
      </c>
      <c r="J72" s="71">
        <v>2</v>
      </c>
      <c r="K72" s="71">
        <v>2</v>
      </c>
      <c r="L72" s="71">
        <v>2</v>
      </c>
      <c r="M72" s="71">
        <v>2</v>
      </c>
      <c r="N72" s="71">
        <v>2</v>
      </c>
      <c r="O72" s="71">
        <v>2</v>
      </c>
      <c r="P72" s="71">
        <v>2</v>
      </c>
      <c r="Q72" s="71">
        <v>2</v>
      </c>
      <c r="R72" s="71">
        <v>2</v>
      </c>
      <c r="S72" s="71">
        <v>2</v>
      </c>
      <c r="T72" s="71">
        <v>2</v>
      </c>
      <c r="U72" s="71">
        <v>2</v>
      </c>
      <c r="V72" s="71">
        <v>2</v>
      </c>
      <c r="W72" s="72">
        <v>2</v>
      </c>
      <c r="X72" s="72">
        <v>2</v>
      </c>
      <c r="Y72" s="72"/>
      <c r="Z72" s="72"/>
      <c r="AA72" s="72"/>
      <c r="AB72" s="72"/>
      <c r="AC72" s="72"/>
      <c r="AD72" s="72"/>
      <c r="AE72" s="76" t="s">
        <v>25</v>
      </c>
      <c r="AM72" s="12"/>
      <c r="AN72" s="96"/>
      <c r="AO72" s="149"/>
      <c r="AP72" s="149"/>
      <c r="AQ72" s="11"/>
      <c r="AR72" s="11"/>
    </row>
    <row r="73" spans="1:44" s="4" customFormat="1" ht="19.5" thickBot="1">
      <c r="A73" s="88"/>
      <c r="B73" s="89"/>
      <c r="C73" s="79"/>
      <c r="D73" s="80"/>
      <c r="E73" s="80"/>
      <c r="F73" s="81">
        <f t="shared" ref="F73" si="43">SUM(G73:AD73)</f>
        <v>0</v>
      </c>
      <c r="G73" s="79"/>
      <c r="H73" s="80"/>
      <c r="I73" s="80"/>
      <c r="J73" s="79"/>
      <c r="K73" s="79"/>
      <c r="L73" s="80"/>
      <c r="M73" s="80"/>
      <c r="N73" s="80"/>
      <c r="O73" s="80"/>
      <c r="P73" s="80"/>
      <c r="Q73" s="86"/>
      <c r="R73" s="86"/>
      <c r="S73" s="87"/>
      <c r="T73" s="87"/>
      <c r="U73" s="87"/>
      <c r="V73" s="87"/>
      <c r="W73" s="87"/>
      <c r="X73" s="87"/>
      <c r="Y73" s="87"/>
      <c r="Z73" s="87"/>
      <c r="AA73" s="87"/>
      <c r="AB73" s="87"/>
      <c r="AC73" s="87"/>
      <c r="AD73" s="87"/>
      <c r="AE73" s="81">
        <v>36</v>
      </c>
      <c r="AM73" s="12"/>
      <c r="AN73" s="96"/>
      <c r="AO73" s="149"/>
      <c r="AP73" s="149"/>
      <c r="AQ73" s="11"/>
      <c r="AR73" s="11"/>
    </row>
    <row r="74" spans="1:44" s="4" customFormat="1" ht="19.5">
      <c r="A74" s="82">
        <v>33</v>
      </c>
      <c r="B74" s="83" t="s">
        <v>56</v>
      </c>
      <c r="C74" s="64">
        <f t="shared" ref="C74" si="44">SUM(D74:F76)</f>
        <v>54</v>
      </c>
      <c r="D74" s="65">
        <f t="shared" ref="D74" si="45">SUM(G74:AD74)</f>
        <v>18</v>
      </c>
      <c r="E74" s="65"/>
      <c r="F74" s="66"/>
      <c r="G74" s="67">
        <v>2</v>
      </c>
      <c r="H74" s="68"/>
      <c r="I74" s="68">
        <v>2</v>
      </c>
      <c r="J74" s="67"/>
      <c r="K74" s="64">
        <v>2</v>
      </c>
      <c r="L74" s="65"/>
      <c r="M74" s="65">
        <v>2</v>
      </c>
      <c r="N74" s="65"/>
      <c r="O74" s="65">
        <v>2</v>
      </c>
      <c r="P74" s="65"/>
      <c r="Q74" s="64">
        <v>2</v>
      </c>
      <c r="R74" s="64"/>
      <c r="S74" s="65">
        <v>2</v>
      </c>
      <c r="T74" s="65"/>
      <c r="U74" s="65">
        <v>2</v>
      </c>
      <c r="V74" s="65"/>
      <c r="W74" s="65">
        <v>2</v>
      </c>
      <c r="X74" s="65"/>
      <c r="Y74" s="65"/>
      <c r="Z74" s="65"/>
      <c r="AA74" s="65"/>
      <c r="AB74" s="65"/>
      <c r="AC74" s="65"/>
      <c r="AD74" s="65"/>
      <c r="AE74" s="66" t="s">
        <v>19</v>
      </c>
      <c r="AM74" s="11"/>
      <c r="AN74" s="11"/>
      <c r="AO74" s="11"/>
      <c r="AP74" s="11"/>
      <c r="AQ74" s="11"/>
      <c r="AR74" s="11"/>
    </row>
    <row r="75" spans="1:44" s="4" customFormat="1">
      <c r="A75" s="84"/>
      <c r="B75" s="85"/>
      <c r="C75" s="71"/>
      <c r="D75" s="72"/>
      <c r="E75" s="72">
        <f t="shared" ref="E75" si="46">SUM(G75:AD75)</f>
        <v>36</v>
      </c>
      <c r="F75" s="73"/>
      <c r="G75" s="71"/>
      <c r="H75" s="71">
        <v>4</v>
      </c>
      <c r="I75" s="71"/>
      <c r="J75" s="71">
        <v>4</v>
      </c>
      <c r="K75" s="71"/>
      <c r="L75" s="71">
        <v>4</v>
      </c>
      <c r="M75" s="71"/>
      <c r="N75" s="71">
        <v>4</v>
      </c>
      <c r="O75" s="71"/>
      <c r="P75" s="71">
        <v>4</v>
      </c>
      <c r="Q75" s="71"/>
      <c r="R75" s="71">
        <v>4</v>
      </c>
      <c r="S75" s="71"/>
      <c r="T75" s="71">
        <v>4</v>
      </c>
      <c r="U75" s="71"/>
      <c r="V75" s="71">
        <v>4</v>
      </c>
      <c r="W75" s="72"/>
      <c r="X75" s="72">
        <v>4</v>
      </c>
      <c r="Y75" s="72"/>
      <c r="Z75" s="72"/>
      <c r="AA75" s="72"/>
      <c r="AB75" s="72"/>
      <c r="AC75" s="72"/>
      <c r="AD75" s="72"/>
      <c r="AE75" s="76"/>
      <c r="AM75" s="12"/>
      <c r="AN75" s="96"/>
      <c r="AO75" s="149"/>
      <c r="AP75" s="149"/>
      <c r="AQ75" s="11"/>
      <c r="AR75" s="11"/>
    </row>
    <row r="76" spans="1:44" s="4" customFormat="1" ht="19.5" thickBot="1">
      <c r="A76" s="88"/>
      <c r="B76" s="89"/>
      <c r="C76" s="79"/>
      <c r="D76" s="80"/>
      <c r="E76" s="80"/>
      <c r="F76" s="81">
        <f t="shared" ref="F76" si="47">SUM(G76:AD76)</f>
        <v>0</v>
      </c>
      <c r="G76" s="79"/>
      <c r="H76" s="80"/>
      <c r="I76" s="80"/>
      <c r="J76" s="79"/>
      <c r="K76" s="79"/>
      <c r="L76" s="80"/>
      <c r="M76" s="80"/>
      <c r="N76" s="80"/>
      <c r="O76" s="80"/>
      <c r="P76" s="80"/>
      <c r="Q76" s="86"/>
      <c r="R76" s="86"/>
      <c r="S76" s="87"/>
      <c r="T76" s="87"/>
      <c r="U76" s="87"/>
      <c r="V76" s="87"/>
      <c r="W76" s="87"/>
      <c r="X76" s="87"/>
      <c r="Y76" s="87"/>
      <c r="Z76" s="87"/>
      <c r="AA76" s="87"/>
      <c r="AB76" s="87"/>
      <c r="AC76" s="87"/>
      <c r="AD76" s="87"/>
      <c r="AE76" s="81">
        <v>36</v>
      </c>
      <c r="AM76" s="12"/>
      <c r="AN76" s="96"/>
      <c r="AO76" s="149"/>
      <c r="AP76" s="149"/>
      <c r="AQ76" s="11"/>
      <c r="AR76" s="11"/>
    </row>
    <row r="77" spans="1:44" ht="19.5">
      <c r="A77" s="82">
        <v>33</v>
      </c>
      <c r="B77" s="83" t="s">
        <v>57</v>
      </c>
      <c r="C77" s="64">
        <f t="shared" ref="C77" si="48">SUM(D77:F79)</f>
        <v>54</v>
      </c>
      <c r="D77" s="65">
        <f t="shared" ref="D77" si="49">SUM(G77:AD77)</f>
        <v>18</v>
      </c>
      <c r="E77" s="65"/>
      <c r="F77" s="66"/>
      <c r="G77" s="67">
        <v>2</v>
      </c>
      <c r="H77" s="68"/>
      <c r="I77" s="68">
        <v>2</v>
      </c>
      <c r="J77" s="67"/>
      <c r="K77" s="64">
        <v>2</v>
      </c>
      <c r="L77" s="65"/>
      <c r="M77" s="65">
        <v>2</v>
      </c>
      <c r="N77" s="65"/>
      <c r="O77" s="65">
        <v>2</v>
      </c>
      <c r="P77" s="65"/>
      <c r="Q77" s="64">
        <v>2</v>
      </c>
      <c r="R77" s="64"/>
      <c r="S77" s="65">
        <v>2</v>
      </c>
      <c r="T77" s="65"/>
      <c r="U77" s="65">
        <v>2</v>
      </c>
      <c r="V77" s="65"/>
      <c r="W77" s="65">
        <v>2</v>
      </c>
      <c r="X77" s="65"/>
      <c r="Y77" s="65"/>
      <c r="Z77" s="65"/>
      <c r="AA77" s="65"/>
      <c r="AB77" s="65"/>
      <c r="AC77" s="65"/>
      <c r="AD77" s="65"/>
      <c r="AE77" s="66" t="s">
        <v>18</v>
      </c>
    </row>
    <row r="78" spans="1:44">
      <c r="A78" s="84"/>
      <c r="B78" s="85"/>
      <c r="C78" s="71"/>
      <c r="D78" s="72"/>
      <c r="E78" s="72">
        <f t="shared" ref="E78" si="50">SUM(G78:AD78)</f>
        <v>36</v>
      </c>
      <c r="F78" s="73"/>
      <c r="G78" s="71">
        <v>2</v>
      </c>
      <c r="H78" s="71">
        <v>2</v>
      </c>
      <c r="I78" s="71">
        <v>2</v>
      </c>
      <c r="J78" s="71">
        <v>2</v>
      </c>
      <c r="K78" s="71">
        <v>2</v>
      </c>
      <c r="L78" s="71">
        <v>2</v>
      </c>
      <c r="M78" s="71">
        <v>2</v>
      </c>
      <c r="N78" s="71">
        <v>2</v>
      </c>
      <c r="O78" s="71">
        <v>2</v>
      </c>
      <c r="P78" s="71">
        <v>2</v>
      </c>
      <c r="Q78" s="71">
        <v>2</v>
      </c>
      <c r="R78" s="71">
        <v>2</v>
      </c>
      <c r="S78" s="71">
        <v>2</v>
      </c>
      <c r="T78" s="71">
        <v>2</v>
      </c>
      <c r="U78" s="71">
        <v>2</v>
      </c>
      <c r="V78" s="71">
        <v>2</v>
      </c>
      <c r="W78" s="72">
        <v>2</v>
      </c>
      <c r="X78" s="72">
        <v>2</v>
      </c>
      <c r="Y78" s="72"/>
      <c r="Z78" s="72"/>
      <c r="AA78" s="72"/>
      <c r="AB78" s="72"/>
      <c r="AC78" s="72"/>
      <c r="AD78" s="72"/>
      <c r="AE78" s="76"/>
    </row>
    <row r="79" spans="1:44" ht="19.5" thickBot="1">
      <c r="A79" s="88"/>
      <c r="B79" s="89"/>
      <c r="C79" s="79"/>
      <c r="D79" s="80"/>
      <c r="E79" s="80"/>
      <c r="F79" s="81">
        <f t="shared" ref="F79" si="51">SUM(G79:AD79)</f>
        <v>0</v>
      </c>
      <c r="G79" s="79"/>
      <c r="H79" s="80"/>
      <c r="I79" s="80"/>
      <c r="J79" s="79"/>
      <c r="K79" s="79"/>
      <c r="L79" s="80"/>
      <c r="M79" s="80"/>
      <c r="N79" s="80"/>
      <c r="O79" s="80"/>
      <c r="P79" s="80"/>
      <c r="Q79" s="86"/>
      <c r="R79" s="86"/>
      <c r="S79" s="87"/>
      <c r="T79" s="87"/>
      <c r="U79" s="87"/>
      <c r="V79" s="87"/>
      <c r="W79" s="87"/>
      <c r="X79" s="87"/>
      <c r="Y79" s="87"/>
      <c r="Z79" s="87"/>
      <c r="AA79" s="87"/>
      <c r="AB79" s="87"/>
      <c r="AC79" s="87"/>
      <c r="AD79" s="87"/>
      <c r="AE79" s="81">
        <v>9</v>
      </c>
    </row>
    <row r="80" spans="1:44" ht="19.5">
      <c r="A80" s="82">
        <v>33</v>
      </c>
      <c r="B80" s="83" t="s">
        <v>58</v>
      </c>
      <c r="C80" s="64">
        <f t="shared" ref="C80" si="52">SUM(D80:F82)</f>
        <v>54</v>
      </c>
      <c r="D80" s="65">
        <f t="shared" ref="D80" si="53">SUM(G80:AD80)</f>
        <v>18</v>
      </c>
      <c r="E80" s="65"/>
      <c r="F80" s="66"/>
      <c r="G80" s="67">
        <v>2</v>
      </c>
      <c r="H80" s="68"/>
      <c r="I80" s="68">
        <v>2</v>
      </c>
      <c r="J80" s="67"/>
      <c r="K80" s="64">
        <v>2</v>
      </c>
      <c r="L80" s="65"/>
      <c r="M80" s="65">
        <v>2</v>
      </c>
      <c r="N80" s="65"/>
      <c r="O80" s="65">
        <v>2</v>
      </c>
      <c r="P80" s="65"/>
      <c r="Q80" s="64">
        <v>2</v>
      </c>
      <c r="R80" s="64"/>
      <c r="S80" s="65">
        <v>2</v>
      </c>
      <c r="T80" s="65"/>
      <c r="U80" s="65">
        <v>2</v>
      </c>
      <c r="V80" s="65"/>
      <c r="W80" s="65">
        <v>2</v>
      </c>
      <c r="X80" s="65"/>
      <c r="Y80" s="65"/>
      <c r="Z80" s="65"/>
      <c r="AA80" s="65"/>
      <c r="AB80" s="65"/>
      <c r="AC80" s="65"/>
      <c r="AD80" s="65"/>
      <c r="AE80" s="66" t="s">
        <v>26</v>
      </c>
    </row>
    <row r="81" spans="1:31">
      <c r="A81" s="84"/>
      <c r="B81" s="85"/>
      <c r="C81" s="71"/>
      <c r="D81" s="72"/>
      <c r="E81" s="72">
        <f t="shared" ref="E81" si="54">SUM(G81:AD81)</f>
        <v>36</v>
      </c>
      <c r="F81" s="73"/>
      <c r="G81" s="71"/>
      <c r="H81" s="71">
        <v>4</v>
      </c>
      <c r="I81" s="71"/>
      <c r="J81" s="71">
        <v>4</v>
      </c>
      <c r="K81" s="71"/>
      <c r="L81" s="71">
        <v>4</v>
      </c>
      <c r="M81" s="71"/>
      <c r="N81" s="71">
        <v>4</v>
      </c>
      <c r="O81" s="71"/>
      <c r="P81" s="71">
        <v>4</v>
      </c>
      <c r="Q81" s="71"/>
      <c r="R81" s="71">
        <v>4</v>
      </c>
      <c r="S81" s="71"/>
      <c r="T81" s="71">
        <v>4</v>
      </c>
      <c r="U81" s="71"/>
      <c r="V81" s="71">
        <v>4</v>
      </c>
      <c r="W81" s="72"/>
      <c r="X81" s="72">
        <v>4</v>
      </c>
      <c r="Y81" s="72"/>
      <c r="Z81" s="72"/>
      <c r="AA81" s="72"/>
      <c r="AB81" s="72"/>
      <c r="AC81" s="72"/>
      <c r="AD81" s="72"/>
      <c r="AE81" s="76"/>
    </row>
    <row r="82" spans="1:31" ht="19.5" thickBot="1">
      <c r="A82" s="88"/>
      <c r="B82" s="89"/>
      <c r="C82" s="79"/>
      <c r="D82" s="80"/>
      <c r="E82" s="80"/>
      <c r="F82" s="81">
        <f t="shared" ref="F82" si="55">SUM(G82:AD82)</f>
        <v>0</v>
      </c>
      <c r="G82" s="79"/>
      <c r="H82" s="80"/>
      <c r="I82" s="80"/>
      <c r="J82" s="79"/>
      <c r="K82" s="79"/>
      <c r="L82" s="80"/>
      <c r="M82" s="80"/>
      <c r="N82" s="80"/>
      <c r="O82" s="80"/>
      <c r="P82" s="80"/>
      <c r="Q82" s="86"/>
      <c r="R82" s="86"/>
      <c r="S82" s="87"/>
      <c r="T82" s="87"/>
      <c r="U82" s="87"/>
      <c r="V82" s="87"/>
      <c r="W82" s="87"/>
      <c r="X82" s="87"/>
      <c r="Y82" s="87"/>
      <c r="Z82" s="87"/>
      <c r="AA82" s="87"/>
      <c r="AB82" s="87"/>
      <c r="AC82" s="87"/>
      <c r="AD82" s="87"/>
      <c r="AE82" s="81">
        <v>9</v>
      </c>
    </row>
    <row r="83" spans="1:31" ht="19.5">
      <c r="A83" s="82">
        <v>33</v>
      </c>
      <c r="B83" s="83" t="s">
        <v>36</v>
      </c>
      <c r="C83" s="64">
        <f t="shared" ref="C83" si="56">SUM(D83:F85)</f>
        <v>36</v>
      </c>
      <c r="D83" s="65">
        <f t="shared" ref="D83" si="57">SUM(G83:AD83)</f>
        <v>18</v>
      </c>
      <c r="E83" s="65"/>
      <c r="F83" s="66"/>
      <c r="G83" s="67">
        <v>2</v>
      </c>
      <c r="H83" s="68"/>
      <c r="I83" s="68">
        <v>2</v>
      </c>
      <c r="J83" s="67"/>
      <c r="K83" s="64">
        <v>2</v>
      </c>
      <c r="L83" s="65"/>
      <c r="M83" s="65">
        <v>2</v>
      </c>
      <c r="N83" s="65"/>
      <c r="O83" s="65">
        <v>2</v>
      </c>
      <c r="P83" s="65"/>
      <c r="Q83" s="64">
        <v>2</v>
      </c>
      <c r="R83" s="64"/>
      <c r="S83" s="65">
        <v>2</v>
      </c>
      <c r="T83" s="65"/>
      <c r="U83" s="65">
        <v>2</v>
      </c>
      <c r="V83" s="65"/>
      <c r="W83" s="65">
        <v>2</v>
      </c>
      <c r="X83" s="65"/>
      <c r="Y83" s="65"/>
      <c r="Z83" s="65"/>
      <c r="AA83" s="65"/>
      <c r="AB83" s="65"/>
      <c r="AC83" s="65"/>
      <c r="AD83" s="65"/>
      <c r="AE83" s="66" t="s">
        <v>18</v>
      </c>
    </row>
    <row r="84" spans="1:31">
      <c r="A84" s="84"/>
      <c r="B84" s="85"/>
      <c r="C84" s="71"/>
      <c r="D84" s="72"/>
      <c r="E84" s="72">
        <f t="shared" ref="E84" si="58">SUM(G84:AD84)</f>
        <v>18</v>
      </c>
      <c r="F84" s="73"/>
      <c r="G84" s="100"/>
      <c r="H84" s="72">
        <v>2</v>
      </c>
      <c r="I84" s="71"/>
      <c r="J84" s="72">
        <v>2</v>
      </c>
      <c r="K84" s="71"/>
      <c r="L84" s="72">
        <v>2</v>
      </c>
      <c r="M84" s="72"/>
      <c r="N84" s="72">
        <v>2</v>
      </c>
      <c r="O84" s="72"/>
      <c r="P84" s="72">
        <v>2</v>
      </c>
      <c r="Q84" s="71"/>
      <c r="R84" s="71">
        <v>2</v>
      </c>
      <c r="S84" s="72"/>
      <c r="T84" s="72">
        <v>2</v>
      </c>
      <c r="U84" s="72"/>
      <c r="V84" s="72">
        <v>2</v>
      </c>
      <c r="W84" s="72"/>
      <c r="X84" s="72">
        <v>2</v>
      </c>
      <c r="Y84" s="72"/>
      <c r="Z84" s="72"/>
      <c r="AA84" s="72"/>
      <c r="AB84" s="72"/>
      <c r="AC84" s="72"/>
      <c r="AD84" s="72"/>
      <c r="AE84" s="76"/>
    </row>
    <row r="85" spans="1:31" ht="19.5" thickBot="1">
      <c r="A85" s="88"/>
      <c r="B85" s="89"/>
      <c r="C85" s="79"/>
      <c r="D85" s="80"/>
      <c r="E85" s="80"/>
      <c r="F85" s="81">
        <f t="shared" ref="F85" si="59">SUM(G85:AD85)</f>
        <v>0</v>
      </c>
      <c r="G85" s="86"/>
      <c r="H85" s="87"/>
      <c r="I85" s="86"/>
      <c r="J85" s="79"/>
      <c r="K85" s="86"/>
      <c r="L85" s="87"/>
      <c r="M85" s="87"/>
      <c r="N85" s="87"/>
      <c r="O85" s="87"/>
      <c r="P85" s="87"/>
      <c r="Q85" s="86"/>
      <c r="R85" s="86"/>
      <c r="S85" s="87"/>
      <c r="T85" s="87"/>
      <c r="U85" s="87"/>
      <c r="V85" s="87"/>
      <c r="W85" s="87"/>
      <c r="X85" s="87"/>
      <c r="Y85" s="87"/>
      <c r="Z85" s="87"/>
      <c r="AA85" s="87"/>
      <c r="AB85" s="87"/>
      <c r="AC85" s="87"/>
      <c r="AD85" s="87"/>
      <c r="AE85" s="81">
        <v>18</v>
      </c>
    </row>
    <row r="86" spans="1:31" ht="56.25">
      <c r="A86" s="82">
        <v>33</v>
      </c>
      <c r="B86" s="83" t="s">
        <v>33</v>
      </c>
      <c r="C86" s="64">
        <f t="shared" ref="C86" si="60">SUM(D86:F88)</f>
        <v>18</v>
      </c>
      <c r="D86" s="65">
        <f t="shared" ref="D86" si="61">SUM(G86:AD86)</f>
        <v>0</v>
      </c>
      <c r="E86" s="65"/>
      <c r="F86" s="66"/>
      <c r="G86" s="67"/>
      <c r="H86" s="68"/>
      <c r="I86" s="68"/>
      <c r="J86" s="67"/>
      <c r="K86" s="64"/>
      <c r="L86" s="65"/>
      <c r="M86" s="65"/>
      <c r="N86" s="65"/>
      <c r="O86" s="65"/>
      <c r="P86" s="65"/>
      <c r="Q86" s="64"/>
      <c r="R86" s="64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6" t="s">
        <v>18</v>
      </c>
    </row>
    <row r="87" spans="1:31">
      <c r="A87" s="84"/>
      <c r="B87" s="85"/>
      <c r="C87" s="71"/>
      <c r="D87" s="72"/>
      <c r="E87" s="72">
        <f t="shared" ref="E87" si="62">SUM(G87:AD87)</f>
        <v>18</v>
      </c>
      <c r="F87" s="73"/>
      <c r="G87" s="100"/>
      <c r="H87" s="72">
        <v>2</v>
      </c>
      <c r="I87" s="71"/>
      <c r="J87" s="72">
        <v>2</v>
      </c>
      <c r="K87" s="71"/>
      <c r="L87" s="72">
        <v>2</v>
      </c>
      <c r="M87" s="72"/>
      <c r="N87" s="72">
        <v>2</v>
      </c>
      <c r="O87" s="72"/>
      <c r="P87" s="72">
        <v>2</v>
      </c>
      <c r="Q87" s="71"/>
      <c r="R87" s="71">
        <v>2</v>
      </c>
      <c r="S87" s="72"/>
      <c r="T87" s="72">
        <v>2</v>
      </c>
      <c r="U87" s="72"/>
      <c r="V87" s="72">
        <v>2</v>
      </c>
      <c r="W87" s="72"/>
      <c r="X87" s="72">
        <v>2</v>
      </c>
      <c r="Y87" s="72"/>
      <c r="Z87" s="72"/>
      <c r="AA87" s="72"/>
      <c r="AB87" s="72"/>
      <c r="AC87" s="72"/>
      <c r="AD87" s="72"/>
      <c r="AE87" s="76"/>
    </row>
    <row r="88" spans="1:31" ht="19.5" thickBot="1">
      <c r="A88" s="88"/>
      <c r="B88" s="89"/>
      <c r="C88" s="79"/>
      <c r="D88" s="80"/>
      <c r="E88" s="80"/>
      <c r="F88" s="81">
        <f t="shared" ref="F88" si="63">SUM(G88:AD88)</f>
        <v>0</v>
      </c>
      <c r="G88" s="86"/>
      <c r="H88" s="87"/>
      <c r="I88" s="86"/>
      <c r="J88" s="79"/>
      <c r="K88" s="86"/>
      <c r="L88" s="87"/>
      <c r="M88" s="87"/>
      <c r="N88" s="87"/>
      <c r="O88" s="87"/>
      <c r="P88" s="87"/>
      <c r="Q88" s="86"/>
      <c r="R88" s="86"/>
      <c r="S88" s="87"/>
      <c r="T88" s="87"/>
      <c r="U88" s="87"/>
      <c r="V88" s="87"/>
      <c r="W88" s="87"/>
      <c r="X88" s="87"/>
      <c r="Y88" s="87"/>
      <c r="Z88" s="87"/>
      <c r="AA88" s="87"/>
      <c r="AB88" s="87"/>
      <c r="AC88" s="87"/>
      <c r="AD88" s="87"/>
      <c r="AE88" s="81">
        <v>9</v>
      </c>
    </row>
    <row r="89" spans="1:31" ht="19.5">
      <c r="A89" s="82">
        <v>33</v>
      </c>
      <c r="B89" s="83" t="s">
        <v>59</v>
      </c>
      <c r="C89" s="64">
        <f t="shared" ref="C89" si="64">SUM(D89:F91)</f>
        <v>72</v>
      </c>
      <c r="D89" s="65">
        <f t="shared" ref="D89" si="65">SUM(G89:AD89)</f>
        <v>36</v>
      </c>
      <c r="E89" s="65"/>
      <c r="F89" s="66"/>
      <c r="G89" s="67">
        <v>2</v>
      </c>
      <c r="H89" s="67">
        <v>2</v>
      </c>
      <c r="I89" s="67">
        <v>2</v>
      </c>
      <c r="J89" s="67">
        <v>2</v>
      </c>
      <c r="K89" s="67">
        <v>2</v>
      </c>
      <c r="L89" s="67">
        <v>2</v>
      </c>
      <c r="M89" s="67">
        <v>2</v>
      </c>
      <c r="N89" s="67">
        <v>2</v>
      </c>
      <c r="O89" s="67">
        <v>2</v>
      </c>
      <c r="P89" s="67">
        <v>2</v>
      </c>
      <c r="Q89" s="67">
        <v>2</v>
      </c>
      <c r="R89" s="67">
        <v>2</v>
      </c>
      <c r="S89" s="67">
        <v>2</v>
      </c>
      <c r="T89" s="67">
        <v>2</v>
      </c>
      <c r="U89" s="67">
        <v>2</v>
      </c>
      <c r="V89" s="67">
        <v>2</v>
      </c>
      <c r="W89" s="67">
        <v>2</v>
      </c>
      <c r="X89" s="67">
        <v>2</v>
      </c>
      <c r="Y89" s="65"/>
      <c r="Z89" s="65"/>
      <c r="AA89" s="65"/>
      <c r="AB89" s="65"/>
      <c r="AC89" s="65"/>
      <c r="AD89" s="65"/>
      <c r="AE89" s="66" t="s">
        <v>18</v>
      </c>
    </row>
    <row r="90" spans="1:31">
      <c r="A90" s="84"/>
      <c r="B90" s="85"/>
      <c r="C90" s="71"/>
      <c r="D90" s="72"/>
      <c r="E90" s="72">
        <f t="shared" ref="E90" si="66">SUM(G90:AD90)</f>
        <v>36</v>
      </c>
      <c r="F90" s="73"/>
      <c r="G90" s="100">
        <v>2</v>
      </c>
      <c r="H90" s="100">
        <v>2</v>
      </c>
      <c r="I90" s="100">
        <v>2</v>
      </c>
      <c r="J90" s="100">
        <v>2</v>
      </c>
      <c r="K90" s="100">
        <v>2</v>
      </c>
      <c r="L90" s="100">
        <v>2</v>
      </c>
      <c r="M90" s="100">
        <v>2</v>
      </c>
      <c r="N90" s="100">
        <v>2</v>
      </c>
      <c r="O90" s="100">
        <v>2</v>
      </c>
      <c r="P90" s="100">
        <v>2</v>
      </c>
      <c r="Q90" s="100">
        <v>2</v>
      </c>
      <c r="R90" s="100">
        <v>2</v>
      </c>
      <c r="S90" s="100">
        <v>2</v>
      </c>
      <c r="T90" s="100">
        <v>2</v>
      </c>
      <c r="U90" s="100">
        <v>2</v>
      </c>
      <c r="V90" s="100">
        <v>2</v>
      </c>
      <c r="W90" s="100">
        <v>2</v>
      </c>
      <c r="X90" s="100">
        <v>2</v>
      </c>
      <c r="Y90" s="72"/>
      <c r="Z90" s="72"/>
      <c r="AA90" s="72"/>
      <c r="AB90" s="72"/>
      <c r="AC90" s="72"/>
      <c r="AD90" s="72"/>
      <c r="AE90" s="76"/>
    </row>
    <row r="91" spans="1:31" ht="19.5" thickBot="1">
      <c r="A91" s="88"/>
      <c r="B91" s="89"/>
      <c r="C91" s="79"/>
      <c r="D91" s="80"/>
      <c r="E91" s="80"/>
      <c r="F91" s="81">
        <f t="shared" ref="F91" si="67">SUM(G91:AD91)</f>
        <v>0</v>
      </c>
      <c r="G91" s="86"/>
      <c r="H91" s="87"/>
      <c r="I91" s="86"/>
      <c r="J91" s="79"/>
      <c r="K91" s="86"/>
      <c r="L91" s="87"/>
      <c r="M91" s="87"/>
      <c r="N91" s="87"/>
      <c r="O91" s="87"/>
      <c r="P91" s="87"/>
      <c r="Q91" s="86"/>
      <c r="R91" s="86"/>
      <c r="S91" s="87"/>
      <c r="T91" s="87"/>
      <c r="U91" s="87"/>
      <c r="V91" s="87"/>
      <c r="W91" s="87"/>
      <c r="X91" s="87"/>
      <c r="Y91" s="87"/>
      <c r="Z91" s="87"/>
      <c r="AA91" s="87"/>
      <c r="AB91" s="87"/>
      <c r="AC91" s="87"/>
      <c r="AD91" s="87"/>
      <c r="AE91" s="81">
        <v>9</v>
      </c>
    </row>
    <row r="92" spans="1:31" ht="19.5" thickBot="1">
      <c r="A92" s="143" t="s">
        <v>24</v>
      </c>
      <c r="B92" s="143"/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</row>
    <row r="93" spans="1:31" ht="19.5" thickBot="1">
      <c r="A93" s="144" t="s">
        <v>61</v>
      </c>
      <c r="B93" s="145"/>
      <c r="C93" s="145"/>
      <c r="D93" s="145"/>
      <c r="E93" s="145"/>
      <c r="F93" s="145"/>
      <c r="G93" s="145"/>
      <c r="H93" s="145"/>
      <c r="I93" s="145"/>
      <c r="J93" s="145"/>
      <c r="K93" s="145"/>
      <c r="L93" s="145"/>
      <c r="M93" s="145"/>
      <c r="N93" s="145"/>
      <c r="O93" s="145"/>
      <c r="P93" s="145"/>
      <c r="Q93" s="145"/>
      <c r="R93" s="145"/>
      <c r="S93" s="145"/>
      <c r="T93" s="145"/>
      <c r="U93" s="145"/>
      <c r="V93" s="145"/>
      <c r="W93" s="145"/>
      <c r="X93" s="145"/>
      <c r="Y93" s="145"/>
      <c r="Z93" s="145"/>
      <c r="AA93" s="145"/>
      <c r="AB93" s="145"/>
      <c r="AC93" s="145"/>
      <c r="AD93" s="145"/>
      <c r="AE93" s="146"/>
    </row>
    <row r="94" spans="1:31" ht="19.5">
      <c r="A94" s="82">
        <v>33</v>
      </c>
      <c r="B94" s="83" t="s">
        <v>47</v>
      </c>
      <c r="C94" s="64">
        <f t="shared" ref="C94" si="68">SUM(D94:F96)</f>
        <v>42</v>
      </c>
      <c r="D94" s="65">
        <f t="shared" ref="D94" si="69">SUM(G94:X94)</f>
        <v>14</v>
      </c>
      <c r="E94" s="65"/>
      <c r="F94" s="66"/>
      <c r="G94" s="67">
        <v>2</v>
      </c>
      <c r="H94" s="68"/>
      <c r="I94" s="68">
        <v>2</v>
      </c>
      <c r="J94" s="67"/>
      <c r="K94" s="64">
        <v>2</v>
      </c>
      <c r="L94" s="65"/>
      <c r="M94" s="65">
        <v>2</v>
      </c>
      <c r="N94" s="65"/>
      <c r="O94" s="65">
        <v>2</v>
      </c>
      <c r="P94" s="65"/>
      <c r="Q94" s="64">
        <v>2</v>
      </c>
      <c r="R94" s="64"/>
      <c r="S94" s="65">
        <v>2</v>
      </c>
      <c r="T94" s="66"/>
      <c r="U94" s="64"/>
      <c r="V94" s="65"/>
      <c r="W94" s="65"/>
      <c r="X94" s="65"/>
      <c r="Y94" s="64"/>
      <c r="Z94" s="65"/>
      <c r="AA94" s="65"/>
      <c r="AB94" s="65"/>
      <c r="AC94" s="65"/>
      <c r="AD94" s="65"/>
      <c r="AE94" s="66" t="s">
        <v>18</v>
      </c>
    </row>
    <row r="95" spans="1:31">
      <c r="A95" s="84"/>
      <c r="B95" s="85"/>
      <c r="C95" s="71"/>
      <c r="D95" s="72"/>
      <c r="E95" s="72">
        <f t="shared" ref="E95" si="70">SUM(G95:X95)</f>
        <v>26</v>
      </c>
      <c r="F95" s="73"/>
      <c r="G95" s="71"/>
      <c r="H95" s="71">
        <v>4</v>
      </c>
      <c r="I95" s="71"/>
      <c r="J95" s="71">
        <v>4</v>
      </c>
      <c r="K95" s="71"/>
      <c r="L95" s="71">
        <v>4</v>
      </c>
      <c r="M95" s="71"/>
      <c r="N95" s="71">
        <v>4</v>
      </c>
      <c r="O95" s="71"/>
      <c r="P95" s="71">
        <v>4</v>
      </c>
      <c r="Q95" s="71"/>
      <c r="R95" s="71">
        <v>4</v>
      </c>
      <c r="S95" s="71"/>
      <c r="T95" s="73">
        <v>2</v>
      </c>
      <c r="U95" s="71"/>
      <c r="V95" s="72"/>
      <c r="W95" s="72"/>
      <c r="X95" s="72"/>
      <c r="Y95" s="71"/>
      <c r="Z95" s="72"/>
      <c r="AA95" s="72"/>
      <c r="AB95" s="72"/>
      <c r="AC95" s="72"/>
      <c r="AD95" s="72"/>
      <c r="AE95" s="76"/>
    </row>
    <row r="96" spans="1:31" ht="19.5" thickBot="1">
      <c r="A96" s="98"/>
      <c r="B96" s="89"/>
      <c r="C96" s="79"/>
      <c r="D96" s="80"/>
      <c r="E96" s="80"/>
      <c r="F96" s="81">
        <f t="shared" ref="F96" si="71">SUM(G96:X96)</f>
        <v>2</v>
      </c>
      <c r="G96" s="79"/>
      <c r="H96" s="80"/>
      <c r="I96" s="80"/>
      <c r="J96" s="79"/>
      <c r="K96" s="79"/>
      <c r="L96" s="80"/>
      <c r="M96" s="80"/>
      <c r="N96" s="80"/>
      <c r="O96" s="80"/>
      <c r="P96" s="80"/>
      <c r="Q96" s="86"/>
      <c r="R96" s="86"/>
      <c r="S96" s="87"/>
      <c r="T96" s="92">
        <v>2</v>
      </c>
      <c r="U96" s="86"/>
      <c r="V96" s="87"/>
      <c r="W96" s="87"/>
      <c r="X96" s="87"/>
      <c r="Y96" s="86"/>
      <c r="Z96" s="87"/>
      <c r="AA96" s="87"/>
      <c r="AB96" s="87"/>
      <c r="AC96" s="87"/>
      <c r="AD96" s="87"/>
      <c r="AE96" s="81">
        <v>9</v>
      </c>
    </row>
    <row r="97" spans="1:44" ht="19.5" thickBot="1">
      <c r="A97" s="144" t="s">
        <v>29</v>
      </c>
      <c r="B97" s="145"/>
      <c r="C97" s="145"/>
      <c r="D97" s="145"/>
      <c r="E97" s="145"/>
      <c r="F97" s="145"/>
      <c r="G97" s="145"/>
      <c r="H97" s="145"/>
      <c r="I97" s="145"/>
      <c r="J97" s="145"/>
      <c r="K97" s="145"/>
      <c r="L97" s="145"/>
      <c r="M97" s="145"/>
      <c r="N97" s="145"/>
      <c r="O97" s="145"/>
      <c r="P97" s="145"/>
      <c r="Q97" s="145"/>
      <c r="R97" s="145"/>
      <c r="S97" s="145"/>
      <c r="T97" s="145"/>
      <c r="U97" s="145"/>
      <c r="V97" s="145"/>
      <c r="W97" s="145"/>
      <c r="X97" s="145"/>
      <c r="Y97" s="145"/>
      <c r="Z97" s="145"/>
      <c r="AA97" s="145"/>
      <c r="AB97" s="145"/>
      <c r="AC97" s="145"/>
      <c r="AD97" s="145"/>
      <c r="AE97" s="146"/>
    </row>
    <row r="98" spans="1:44" s="4" customFormat="1" ht="19.5">
      <c r="A98" s="82">
        <v>33</v>
      </c>
      <c r="B98" s="83" t="s">
        <v>47</v>
      </c>
      <c r="C98" s="64">
        <f t="shared" ref="C98" si="72">SUM(D98:F100)</f>
        <v>48</v>
      </c>
      <c r="D98" s="65">
        <f t="shared" ref="D98" si="73">SUM(G98:X98)</f>
        <v>16</v>
      </c>
      <c r="E98" s="65"/>
      <c r="F98" s="66"/>
      <c r="G98" s="67">
        <v>2</v>
      </c>
      <c r="H98" s="68"/>
      <c r="I98" s="68">
        <v>2</v>
      </c>
      <c r="J98" s="67"/>
      <c r="K98" s="64">
        <v>2</v>
      </c>
      <c r="L98" s="65"/>
      <c r="M98" s="65">
        <v>2</v>
      </c>
      <c r="N98" s="65"/>
      <c r="O98" s="65">
        <v>2</v>
      </c>
      <c r="P98" s="65"/>
      <c r="Q98" s="64">
        <v>2</v>
      </c>
      <c r="R98" s="64"/>
      <c r="S98" s="65">
        <v>2</v>
      </c>
      <c r="T98" s="65"/>
      <c r="U98" s="65">
        <v>2</v>
      </c>
      <c r="V98" s="66"/>
      <c r="W98" s="64"/>
      <c r="X98" s="65"/>
      <c r="Y98" s="64"/>
      <c r="Z98" s="65"/>
      <c r="AA98" s="65"/>
      <c r="AB98" s="65"/>
      <c r="AC98" s="65"/>
      <c r="AD98" s="65"/>
      <c r="AE98" s="66" t="s">
        <v>22</v>
      </c>
      <c r="AM98" s="11"/>
      <c r="AN98" s="11"/>
      <c r="AO98" s="11"/>
      <c r="AP98" s="11"/>
      <c r="AQ98" s="11"/>
      <c r="AR98" s="11"/>
    </row>
    <row r="99" spans="1:44" s="4" customFormat="1">
      <c r="A99" s="84"/>
      <c r="B99" s="85"/>
      <c r="C99" s="71"/>
      <c r="D99" s="72"/>
      <c r="E99" s="72">
        <f t="shared" ref="E99" si="74">SUM(G99:X99)</f>
        <v>26</v>
      </c>
      <c r="F99" s="73"/>
      <c r="G99" s="71"/>
      <c r="H99" s="71">
        <v>4</v>
      </c>
      <c r="I99" s="71"/>
      <c r="J99" s="71">
        <v>4</v>
      </c>
      <c r="K99" s="71"/>
      <c r="L99" s="71">
        <v>4</v>
      </c>
      <c r="M99" s="71"/>
      <c r="N99" s="71">
        <v>4</v>
      </c>
      <c r="O99" s="71"/>
      <c r="P99" s="71">
        <v>4</v>
      </c>
      <c r="Q99" s="71"/>
      <c r="R99" s="71">
        <v>4</v>
      </c>
      <c r="S99" s="71"/>
      <c r="T99" s="72">
        <v>2</v>
      </c>
      <c r="U99" s="72"/>
      <c r="V99" s="73"/>
      <c r="W99" s="71"/>
      <c r="X99" s="72"/>
      <c r="Y99" s="71"/>
      <c r="Z99" s="72"/>
      <c r="AA99" s="72"/>
      <c r="AB99" s="72"/>
      <c r="AC99" s="72"/>
      <c r="AD99" s="72"/>
      <c r="AE99" s="76"/>
      <c r="AM99" s="12"/>
      <c r="AN99" s="96"/>
      <c r="AO99" s="149"/>
      <c r="AP99" s="149"/>
      <c r="AQ99" s="11"/>
      <c r="AR99" s="11"/>
    </row>
    <row r="100" spans="1:44" s="4" customFormat="1" ht="19.5" thickBot="1">
      <c r="A100" s="98"/>
      <c r="B100" s="89"/>
      <c r="C100" s="79"/>
      <c r="D100" s="80"/>
      <c r="E100" s="80"/>
      <c r="F100" s="81">
        <f t="shared" ref="F100" si="75">SUM(G100:X100)</f>
        <v>6</v>
      </c>
      <c r="G100" s="79"/>
      <c r="H100" s="80"/>
      <c r="I100" s="80"/>
      <c r="J100" s="79"/>
      <c r="K100" s="79"/>
      <c r="L100" s="80"/>
      <c r="M100" s="80"/>
      <c r="N100" s="80"/>
      <c r="O100" s="80"/>
      <c r="P100" s="80"/>
      <c r="Q100" s="86"/>
      <c r="R100" s="86"/>
      <c r="S100" s="87"/>
      <c r="T100" s="87">
        <v>2</v>
      </c>
      <c r="U100" s="87"/>
      <c r="V100" s="92">
        <v>4</v>
      </c>
      <c r="W100" s="86"/>
      <c r="X100" s="87"/>
      <c r="Y100" s="86"/>
      <c r="Z100" s="87"/>
      <c r="AA100" s="87"/>
      <c r="AB100" s="87"/>
      <c r="AC100" s="87"/>
      <c r="AD100" s="87"/>
      <c r="AE100" s="81">
        <v>18</v>
      </c>
      <c r="AM100" s="12"/>
      <c r="AN100" s="96"/>
      <c r="AO100" s="149"/>
      <c r="AP100" s="149"/>
      <c r="AQ100" s="11"/>
      <c r="AR100" s="11"/>
    </row>
    <row r="101" spans="1:44" ht="19.5" thickBot="1">
      <c r="A101" s="144" t="s">
        <v>63</v>
      </c>
      <c r="B101" s="145"/>
      <c r="C101" s="145"/>
      <c r="D101" s="145"/>
      <c r="E101" s="145"/>
      <c r="F101" s="145"/>
      <c r="G101" s="145"/>
      <c r="H101" s="145"/>
      <c r="I101" s="145"/>
      <c r="J101" s="145"/>
      <c r="K101" s="145"/>
      <c r="L101" s="145"/>
      <c r="M101" s="145"/>
      <c r="N101" s="145"/>
      <c r="O101" s="145"/>
      <c r="P101" s="145"/>
      <c r="Q101" s="145"/>
      <c r="R101" s="145"/>
      <c r="S101" s="145"/>
      <c r="T101" s="145"/>
      <c r="U101" s="145"/>
      <c r="V101" s="145"/>
      <c r="W101" s="145"/>
      <c r="X101" s="145"/>
      <c r="Y101" s="145"/>
      <c r="Z101" s="145"/>
      <c r="AA101" s="145"/>
      <c r="AB101" s="145"/>
      <c r="AC101" s="145"/>
      <c r="AD101" s="145"/>
      <c r="AE101" s="146"/>
    </row>
    <row r="102" spans="1:44" ht="56.25">
      <c r="A102" s="82">
        <v>33</v>
      </c>
      <c r="B102" s="83" t="s">
        <v>62</v>
      </c>
      <c r="C102" s="64">
        <f t="shared" ref="C102" si="76">SUM(D102:F104)</f>
        <v>42</v>
      </c>
      <c r="D102" s="65">
        <f t="shared" ref="D102" si="77">SUM(G102:X102)</f>
        <v>14</v>
      </c>
      <c r="E102" s="65"/>
      <c r="F102" s="66"/>
      <c r="G102" s="67">
        <v>2</v>
      </c>
      <c r="H102" s="68"/>
      <c r="I102" s="68">
        <v>2</v>
      </c>
      <c r="J102" s="67"/>
      <c r="K102" s="64">
        <v>2</v>
      </c>
      <c r="L102" s="65"/>
      <c r="M102" s="65">
        <v>2</v>
      </c>
      <c r="N102" s="65"/>
      <c r="O102" s="65">
        <v>2</v>
      </c>
      <c r="P102" s="65"/>
      <c r="Q102" s="64">
        <v>2</v>
      </c>
      <c r="R102" s="64"/>
      <c r="S102" s="65">
        <v>2</v>
      </c>
      <c r="T102" s="66"/>
      <c r="U102" s="64"/>
      <c r="V102" s="65"/>
      <c r="W102" s="65"/>
      <c r="X102" s="65"/>
      <c r="Y102" s="64"/>
      <c r="Z102" s="65"/>
      <c r="AA102" s="65"/>
      <c r="AB102" s="65"/>
      <c r="AC102" s="65"/>
      <c r="AD102" s="65"/>
      <c r="AE102" s="66" t="s">
        <v>18</v>
      </c>
    </row>
    <row r="103" spans="1:44">
      <c r="A103" s="84"/>
      <c r="B103" s="85"/>
      <c r="C103" s="71"/>
      <c r="D103" s="72"/>
      <c r="E103" s="72">
        <f t="shared" ref="E103" si="78">SUM(G103:X103)</f>
        <v>28</v>
      </c>
      <c r="F103" s="73"/>
      <c r="G103" s="71">
        <v>2</v>
      </c>
      <c r="H103" s="71">
        <v>2</v>
      </c>
      <c r="I103" s="71">
        <v>2</v>
      </c>
      <c r="J103" s="71">
        <v>2</v>
      </c>
      <c r="K103" s="71">
        <v>2</v>
      </c>
      <c r="L103" s="71">
        <v>2</v>
      </c>
      <c r="M103" s="71">
        <v>2</v>
      </c>
      <c r="N103" s="71">
        <v>2</v>
      </c>
      <c r="O103" s="71">
        <v>2</v>
      </c>
      <c r="P103" s="71">
        <v>2</v>
      </c>
      <c r="Q103" s="71">
        <v>2</v>
      </c>
      <c r="R103" s="71">
        <v>2</v>
      </c>
      <c r="S103" s="71">
        <v>2</v>
      </c>
      <c r="T103" s="73">
        <v>2</v>
      </c>
      <c r="U103" s="71"/>
      <c r="V103" s="72"/>
      <c r="W103" s="72"/>
      <c r="X103" s="72"/>
      <c r="Y103" s="71"/>
      <c r="Z103" s="72"/>
      <c r="AA103" s="72"/>
      <c r="AB103" s="72"/>
      <c r="AC103" s="72"/>
      <c r="AD103" s="72"/>
      <c r="AE103" s="76"/>
    </row>
    <row r="104" spans="1:44" ht="19.5" thickBot="1">
      <c r="A104" s="98"/>
      <c r="B104" s="89"/>
      <c r="C104" s="79"/>
      <c r="D104" s="80"/>
      <c r="E104" s="80"/>
      <c r="F104" s="81">
        <f t="shared" ref="F104" si="79">SUM(G104:X104)</f>
        <v>0</v>
      </c>
      <c r="G104" s="79"/>
      <c r="H104" s="80"/>
      <c r="I104" s="80"/>
      <c r="J104" s="79"/>
      <c r="K104" s="79"/>
      <c r="L104" s="80"/>
      <c r="M104" s="80"/>
      <c r="N104" s="80"/>
      <c r="O104" s="80"/>
      <c r="P104" s="80"/>
      <c r="Q104" s="86"/>
      <c r="R104" s="86"/>
      <c r="S104" s="87"/>
      <c r="T104" s="92"/>
      <c r="U104" s="86"/>
      <c r="V104" s="87"/>
      <c r="W104" s="87"/>
      <c r="X104" s="87"/>
      <c r="Y104" s="86"/>
      <c r="Z104" s="87"/>
      <c r="AA104" s="87"/>
      <c r="AB104" s="87"/>
      <c r="AC104" s="87"/>
      <c r="AD104" s="87"/>
      <c r="AE104" s="81">
        <v>9</v>
      </c>
    </row>
    <row r="105" spans="1:44" ht="19.5" thickBot="1">
      <c r="A105" s="144" t="s">
        <v>67</v>
      </c>
      <c r="B105" s="145"/>
      <c r="C105" s="145"/>
      <c r="D105" s="145"/>
      <c r="E105" s="145"/>
      <c r="F105" s="145"/>
      <c r="G105" s="145"/>
      <c r="H105" s="145"/>
      <c r="I105" s="145"/>
      <c r="J105" s="145"/>
      <c r="K105" s="145"/>
      <c r="L105" s="145"/>
      <c r="M105" s="145"/>
      <c r="N105" s="145"/>
      <c r="O105" s="145"/>
      <c r="P105" s="145"/>
      <c r="Q105" s="145"/>
      <c r="R105" s="145"/>
      <c r="S105" s="145"/>
      <c r="T105" s="145"/>
      <c r="U105" s="145"/>
      <c r="V105" s="145"/>
      <c r="W105" s="145"/>
      <c r="X105" s="145"/>
      <c r="Y105" s="145"/>
      <c r="Z105" s="145"/>
      <c r="AA105" s="145"/>
      <c r="AB105" s="145"/>
      <c r="AC105" s="145"/>
      <c r="AD105" s="145"/>
      <c r="AE105" s="146"/>
    </row>
    <row r="106" spans="1:44" s="4" customFormat="1" ht="19.5">
      <c r="A106" s="82">
        <v>33</v>
      </c>
      <c r="B106" s="83" t="s">
        <v>54</v>
      </c>
      <c r="C106" s="64">
        <f t="shared" ref="C106" si="80">SUM(D106:F108)</f>
        <v>72</v>
      </c>
      <c r="D106" s="65">
        <f t="shared" ref="D106" si="81">SUM(G106:AD106)</f>
        <v>36</v>
      </c>
      <c r="E106" s="65"/>
      <c r="F106" s="66"/>
      <c r="G106" s="67">
        <v>2</v>
      </c>
      <c r="H106" s="67">
        <v>2</v>
      </c>
      <c r="I106" s="67">
        <v>2</v>
      </c>
      <c r="J106" s="67">
        <v>2</v>
      </c>
      <c r="K106" s="67">
        <v>2</v>
      </c>
      <c r="L106" s="67">
        <v>2</v>
      </c>
      <c r="M106" s="67">
        <v>2</v>
      </c>
      <c r="N106" s="67">
        <v>2</v>
      </c>
      <c r="O106" s="67">
        <v>2</v>
      </c>
      <c r="P106" s="67">
        <v>2</v>
      </c>
      <c r="Q106" s="67">
        <v>2</v>
      </c>
      <c r="R106" s="67">
        <v>2</v>
      </c>
      <c r="S106" s="67">
        <v>2</v>
      </c>
      <c r="T106" s="67">
        <v>2</v>
      </c>
      <c r="U106" s="67">
        <v>2</v>
      </c>
      <c r="V106" s="67">
        <v>2</v>
      </c>
      <c r="W106" s="67">
        <v>2</v>
      </c>
      <c r="X106" s="65">
        <v>2</v>
      </c>
      <c r="Y106" s="65"/>
      <c r="Z106" s="65"/>
      <c r="AA106" s="65"/>
      <c r="AB106" s="65"/>
      <c r="AC106" s="65"/>
      <c r="AD106" s="65"/>
      <c r="AE106" s="66" t="s">
        <v>21</v>
      </c>
      <c r="AM106" s="11"/>
      <c r="AN106" s="11"/>
      <c r="AO106" s="11"/>
      <c r="AP106" s="11"/>
      <c r="AQ106" s="11"/>
      <c r="AR106" s="11"/>
    </row>
    <row r="107" spans="1:44" s="4" customFormat="1">
      <c r="A107" s="84"/>
      <c r="B107" s="85"/>
      <c r="C107" s="71"/>
      <c r="D107" s="72"/>
      <c r="E107" s="72">
        <f t="shared" ref="E107" si="82">SUM(G107:AD107)</f>
        <v>32</v>
      </c>
      <c r="F107" s="73"/>
      <c r="G107" s="100">
        <v>2</v>
      </c>
      <c r="H107" s="100">
        <v>2</v>
      </c>
      <c r="I107" s="100">
        <v>2</v>
      </c>
      <c r="J107" s="72">
        <v>2</v>
      </c>
      <c r="K107" s="100">
        <v>2</v>
      </c>
      <c r="L107" s="100">
        <v>2</v>
      </c>
      <c r="M107" s="100">
        <v>2</v>
      </c>
      <c r="N107" s="100">
        <v>2</v>
      </c>
      <c r="O107" s="100">
        <v>2</v>
      </c>
      <c r="P107" s="100">
        <v>2</v>
      </c>
      <c r="Q107" s="100">
        <v>2</v>
      </c>
      <c r="R107" s="100">
        <v>2</v>
      </c>
      <c r="S107" s="100">
        <v>2</v>
      </c>
      <c r="T107" s="100">
        <v>2</v>
      </c>
      <c r="U107" s="100">
        <v>2</v>
      </c>
      <c r="V107" s="100">
        <v>2</v>
      </c>
      <c r="W107" s="100"/>
      <c r="X107" s="72"/>
      <c r="Y107" s="72"/>
      <c r="Z107" s="72"/>
      <c r="AA107" s="72"/>
      <c r="AB107" s="72"/>
      <c r="AC107" s="72"/>
      <c r="AD107" s="72"/>
      <c r="AE107" s="76" t="s">
        <v>25</v>
      </c>
      <c r="AM107" s="12"/>
      <c r="AN107" s="96"/>
      <c r="AO107" s="149"/>
      <c r="AP107" s="149"/>
      <c r="AQ107" s="11"/>
      <c r="AR107" s="11"/>
    </row>
    <row r="108" spans="1:44" s="4" customFormat="1" ht="19.5" thickBot="1">
      <c r="A108" s="84"/>
      <c r="B108" s="85"/>
      <c r="C108" s="79"/>
      <c r="D108" s="80"/>
      <c r="E108" s="80"/>
      <c r="F108" s="81">
        <f t="shared" ref="F108" si="83">SUM(G108:AD108)</f>
        <v>4</v>
      </c>
      <c r="G108" s="86"/>
      <c r="H108" s="87"/>
      <c r="I108" s="86"/>
      <c r="J108" s="79"/>
      <c r="K108" s="86"/>
      <c r="L108" s="72"/>
      <c r="M108" s="72"/>
      <c r="N108" s="72"/>
      <c r="O108" s="72"/>
      <c r="P108" s="72"/>
      <c r="Q108" s="71"/>
      <c r="R108" s="71"/>
      <c r="S108" s="72"/>
      <c r="T108" s="72"/>
      <c r="U108" s="72"/>
      <c r="V108" s="72"/>
      <c r="W108" s="72">
        <v>2</v>
      </c>
      <c r="X108" s="72">
        <v>2</v>
      </c>
      <c r="Y108" s="72"/>
      <c r="Z108" s="72"/>
      <c r="AA108" s="72"/>
      <c r="AB108" s="72"/>
      <c r="AC108" s="72"/>
      <c r="AD108" s="72"/>
      <c r="AE108" s="81">
        <v>36</v>
      </c>
      <c r="AM108" s="12"/>
      <c r="AN108" s="96"/>
      <c r="AO108" s="149"/>
      <c r="AP108" s="149"/>
      <c r="AQ108" s="11"/>
      <c r="AR108" s="11"/>
    </row>
    <row r="109" spans="1:44" s="4" customFormat="1" ht="19.5">
      <c r="A109" s="62">
        <v>33</v>
      </c>
      <c r="B109" s="63" t="s">
        <v>55</v>
      </c>
      <c r="C109" s="64">
        <f t="shared" ref="C109" si="84">SUM(D109:F111)</f>
        <v>72</v>
      </c>
      <c r="D109" s="65">
        <f t="shared" ref="D109" si="85">SUM(G109:AD109)</f>
        <v>36</v>
      </c>
      <c r="E109" s="65"/>
      <c r="F109" s="66"/>
      <c r="G109" s="67">
        <v>2</v>
      </c>
      <c r="H109" s="67">
        <v>2</v>
      </c>
      <c r="I109" s="67">
        <v>2</v>
      </c>
      <c r="J109" s="67">
        <v>2</v>
      </c>
      <c r="K109" s="67">
        <v>2</v>
      </c>
      <c r="L109" s="67">
        <v>2</v>
      </c>
      <c r="M109" s="67">
        <v>2</v>
      </c>
      <c r="N109" s="67">
        <v>2</v>
      </c>
      <c r="O109" s="67">
        <v>2</v>
      </c>
      <c r="P109" s="67">
        <v>2</v>
      </c>
      <c r="Q109" s="67">
        <v>2</v>
      </c>
      <c r="R109" s="67">
        <v>2</v>
      </c>
      <c r="S109" s="67">
        <v>2</v>
      </c>
      <c r="T109" s="67">
        <v>2</v>
      </c>
      <c r="U109" s="67">
        <v>2</v>
      </c>
      <c r="V109" s="67">
        <v>2</v>
      </c>
      <c r="W109" s="67">
        <v>2</v>
      </c>
      <c r="X109" s="65">
        <v>2</v>
      </c>
      <c r="Y109" s="65"/>
      <c r="Z109" s="65"/>
      <c r="AA109" s="65"/>
      <c r="AB109" s="65"/>
      <c r="AC109" s="65"/>
      <c r="AD109" s="65"/>
      <c r="AE109" s="66" t="s">
        <v>21</v>
      </c>
    </row>
    <row r="110" spans="1:44" s="4" customFormat="1" ht="19.5">
      <c r="A110" s="69"/>
      <c r="B110" s="70"/>
      <c r="C110" s="71"/>
      <c r="D110" s="72"/>
      <c r="E110" s="72">
        <f t="shared" ref="E110" si="86">SUM(G110:AD110)</f>
        <v>32</v>
      </c>
      <c r="F110" s="73"/>
      <c r="G110" s="100">
        <v>2</v>
      </c>
      <c r="H110" s="100">
        <v>2</v>
      </c>
      <c r="I110" s="100">
        <v>2</v>
      </c>
      <c r="J110" s="72">
        <v>2</v>
      </c>
      <c r="K110" s="100">
        <v>2</v>
      </c>
      <c r="L110" s="100">
        <v>2</v>
      </c>
      <c r="M110" s="100">
        <v>2</v>
      </c>
      <c r="N110" s="100">
        <v>2</v>
      </c>
      <c r="O110" s="100">
        <v>2</v>
      </c>
      <c r="P110" s="100">
        <v>2</v>
      </c>
      <c r="Q110" s="100">
        <v>2</v>
      </c>
      <c r="R110" s="100">
        <v>2</v>
      </c>
      <c r="S110" s="100">
        <v>2</v>
      </c>
      <c r="T110" s="100">
        <v>2</v>
      </c>
      <c r="U110" s="100">
        <v>2</v>
      </c>
      <c r="V110" s="100">
        <v>2</v>
      </c>
      <c r="W110" s="100"/>
      <c r="X110" s="72"/>
      <c r="Y110" s="72"/>
      <c r="Z110" s="72"/>
      <c r="AA110" s="72"/>
      <c r="AB110" s="72"/>
      <c r="AC110" s="72"/>
      <c r="AD110" s="72"/>
      <c r="AE110" s="76" t="s">
        <v>25</v>
      </c>
    </row>
    <row r="111" spans="1:44" s="4" customFormat="1" ht="21.75" customHeight="1" thickBot="1">
      <c r="A111" s="77"/>
      <c r="B111" s="78"/>
      <c r="C111" s="79"/>
      <c r="D111" s="80"/>
      <c r="E111" s="80"/>
      <c r="F111" s="81">
        <f t="shared" ref="F111" si="87">SUM(G111:AD111)</f>
        <v>4</v>
      </c>
      <c r="G111" s="86"/>
      <c r="H111" s="87"/>
      <c r="I111" s="86"/>
      <c r="J111" s="79"/>
      <c r="K111" s="86"/>
      <c r="L111" s="72"/>
      <c r="M111" s="72"/>
      <c r="N111" s="72"/>
      <c r="O111" s="72"/>
      <c r="P111" s="72"/>
      <c r="Q111" s="71"/>
      <c r="R111" s="71"/>
      <c r="S111" s="72"/>
      <c r="T111" s="72"/>
      <c r="U111" s="72"/>
      <c r="V111" s="72"/>
      <c r="W111" s="72">
        <v>2</v>
      </c>
      <c r="X111" s="72">
        <v>2</v>
      </c>
      <c r="Y111" s="72"/>
      <c r="Z111" s="72"/>
      <c r="AA111" s="72"/>
      <c r="AB111" s="72"/>
      <c r="AC111" s="72"/>
      <c r="AD111" s="72"/>
      <c r="AE111" s="81">
        <v>36</v>
      </c>
      <c r="AM111" s="11"/>
      <c r="AN111" s="11"/>
      <c r="AO111" s="11"/>
      <c r="AP111" s="11"/>
      <c r="AQ111" s="11"/>
      <c r="AR111" s="11"/>
    </row>
    <row r="112" spans="1:44" s="4" customFormat="1" ht="19.5">
      <c r="A112" s="82">
        <v>33</v>
      </c>
      <c r="B112" s="83" t="s">
        <v>64</v>
      </c>
      <c r="C112" s="64">
        <f t="shared" ref="C112" si="88">SUM(D112:F114)</f>
        <v>126</v>
      </c>
      <c r="D112" s="65">
        <f t="shared" ref="D112" si="89">SUM(G112:AD112)</f>
        <v>54</v>
      </c>
      <c r="E112" s="65"/>
      <c r="F112" s="66"/>
      <c r="G112" s="64">
        <v>4</v>
      </c>
      <c r="H112" s="65">
        <v>2</v>
      </c>
      <c r="I112" s="65">
        <v>4</v>
      </c>
      <c r="J112" s="64">
        <v>2</v>
      </c>
      <c r="K112" s="64">
        <v>4</v>
      </c>
      <c r="L112" s="65">
        <v>2</v>
      </c>
      <c r="M112" s="65">
        <v>4</v>
      </c>
      <c r="N112" s="65">
        <v>2</v>
      </c>
      <c r="O112" s="65">
        <v>4</v>
      </c>
      <c r="P112" s="65">
        <v>2</v>
      </c>
      <c r="Q112" s="64">
        <v>4</v>
      </c>
      <c r="R112" s="64">
        <v>2</v>
      </c>
      <c r="S112" s="65">
        <v>4</v>
      </c>
      <c r="T112" s="65">
        <v>2</v>
      </c>
      <c r="U112" s="65">
        <v>4</v>
      </c>
      <c r="V112" s="65">
        <v>2</v>
      </c>
      <c r="W112" s="65">
        <v>4</v>
      </c>
      <c r="X112" s="65">
        <v>2</v>
      </c>
      <c r="Y112" s="65"/>
      <c r="Z112" s="65"/>
      <c r="AA112" s="65"/>
      <c r="AB112" s="65"/>
      <c r="AC112" s="65"/>
      <c r="AD112" s="65"/>
      <c r="AE112" s="66" t="s">
        <v>21</v>
      </c>
      <c r="AM112" s="11"/>
      <c r="AN112" s="11"/>
      <c r="AO112" s="11"/>
      <c r="AP112" s="11"/>
      <c r="AQ112" s="11"/>
      <c r="AR112" s="11"/>
    </row>
    <row r="113" spans="1:44" s="4" customFormat="1">
      <c r="A113" s="84"/>
      <c r="B113" s="85"/>
      <c r="C113" s="71"/>
      <c r="D113" s="72"/>
      <c r="E113" s="72">
        <f t="shared" ref="E113" si="90">SUM(G113:AD113)</f>
        <v>72</v>
      </c>
      <c r="F113" s="73"/>
      <c r="G113" s="71">
        <v>4</v>
      </c>
      <c r="H113" s="71">
        <v>4</v>
      </c>
      <c r="I113" s="71">
        <v>4</v>
      </c>
      <c r="J113" s="71">
        <v>4</v>
      </c>
      <c r="K113" s="71">
        <v>4</v>
      </c>
      <c r="L113" s="71">
        <v>4</v>
      </c>
      <c r="M113" s="71">
        <v>4</v>
      </c>
      <c r="N113" s="71">
        <v>4</v>
      </c>
      <c r="O113" s="71">
        <v>4</v>
      </c>
      <c r="P113" s="71">
        <v>4</v>
      </c>
      <c r="Q113" s="71">
        <v>4</v>
      </c>
      <c r="R113" s="71">
        <v>4</v>
      </c>
      <c r="S113" s="71">
        <v>4</v>
      </c>
      <c r="T113" s="71">
        <v>4</v>
      </c>
      <c r="U113" s="71">
        <v>4</v>
      </c>
      <c r="V113" s="71">
        <v>4</v>
      </c>
      <c r="W113" s="71">
        <v>4</v>
      </c>
      <c r="X113" s="71">
        <v>4</v>
      </c>
      <c r="Y113" s="72"/>
      <c r="Z113" s="72"/>
      <c r="AA113" s="72"/>
      <c r="AB113" s="72"/>
      <c r="AC113" s="72"/>
      <c r="AD113" s="72"/>
      <c r="AE113" s="76"/>
      <c r="AM113" s="12"/>
      <c r="AN113" s="96"/>
      <c r="AO113" s="149"/>
      <c r="AP113" s="149"/>
      <c r="AQ113" s="11"/>
      <c r="AR113" s="11"/>
    </row>
    <row r="114" spans="1:44" s="4" customFormat="1" ht="19.5" thickBot="1">
      <c r="A114" s="88"/>
      <c r="B114" s="89"/>
      <c r="C114" s="79"/>
      <c r="D114" s="80"/>
      <c r="E114" s="80"/>
      <c r="F114" s="81">
        <f t="shared" ref="F114" si="91">SUM(G114:AD114)</f>
        <v>0</v>
      </c>
      <c r="G114" s="79"/>
      <c r="H114" s="80"/>
      <c r="I114" s="80"/>
      <c r="J114" s="79"/>
      <c r="K114" s="86"/>
      <c r="L114" s="87"/>
      <c r="M114" s="87"/>
      <c r="N114" s="87"/>
      <c r="O114" s="87"/>
      <c r="P114" s="87"/>
      <c r="Q114" s="86"/>
      <c r="R114" s="86"/>
      <c r="S114" s="87"/>
      <c r="T114" s="87"/>
      <c r="U114" s="87"/>
      <c r="V114" s="87"/>
      <c r="W114" s="87"/>
      <c r="X114" s="87"/>
      <c r="Y114" s="87"/>
      <c r="Z114" s="87"/>
      <c r="AA114" s="87"/>
      <c r="AB114" s="87"/>
      <c r="AC114" s="87"/>
      <c r="AD114" s="87"/>
      <c r="AE114" s="81">
        <v>36</v>
      </c>
      <c r="AM114" s="12"/>
      <c r="AN114" s="96"/>
      <c r="AO114" s="149"/>
      <c r="AP114" s="149"/>
      <c r="AQ114" s="11"/>
      <c r="AR114" s="11"/>
    </row>
    <row r="115" spans="1:44" s="4" customFormat="1" ht="19.5">
      <c r="A115" s="82">
        <v>33</v>
      </c>
      <c r="B115" s="83" t="s">
        <v>65</v>
      </c>
      <c r="C115" s="64">
        <f t="shared" ref="C115" si="92">SUM(D115:F117)</f>
        <v>108</v>
      </c>
      <c r="D115" s="65">
        <f t="shared" ref="D115" si="93">SUM(G115:AD115)</f>
        <v>54</v>
      </c>
      <c r="E115" s="65"/>
      <c r="F115" s="66"/>
      <c r="G115" s="64">
        <v>4</v>
      </c>
      <c r="H115" s="65">
        <v>2</v>
      </c>
      <c r="I115" s="65">
        <v>4</v>
      </c>
      <c r="J115" s="64">
        <v>2</v>
      </c>
      <c r="K115" s="64">
        <v>4</v>
      </c>
      <c r="L115" s="65">
        <v>2</v>
      </c>
      <c r="M115" s="65">
        <v>4</v>
      </c>
      <c r="N115" s="65">
        <v>2</v>
      </c>
      <c r="O115" s="65">
        <v>4</v>
      </c>
      <c r="P115" s="65">
        <v>2</v>
      </c>
      <c r="Q115" s="64">
        <v>4</v>
      </c>
      <c r="R115" s="64">
        <v>2</v>
      </c>
      <c r="S115" s="65">
        <v>4</v>
      </c>
      <c r="T115" s="65">
        <v>2</v>
      </c>
      <c r="U115" s="65">
        <v>4</v>
      </c>
      <c r="V115" s="65">
        <v>2</v>
      </c>
      <c r="W115" s="65">
        <v>4</v>
      </c>
      <c r="X115" s="65">
        <v>2</v>
      </c>
      <c r="Y115" s="65"/>
      <c r="Z115" s="65"/>
      <c r="AA115" s="65"/>
      <c r="AB115" s="65"/>
      <c r="AC115" s="65"/>
      <c r="AD115" s="65"/>
      <c r="AE115" s="66" t="s">
        <v>21</v>
      </c>
      <c r="AM115" s="11"/>
      <c r="AN115" s="11"/>
      <c r="AO115" s="11"/>
      <c r="AP115" s="11"/>
      <c r="AQ115" s="11"/>
      <c r="AR115" s="11"/>
    </row>
    <row r="116" spans="1:44" s="4" customFormat="1">
      <c r="A116" s="84"/>
      <c r="B116" s="85"/>
      <c r="C116" s="71"/>
      <c r="D116" s="72"/>
      <c r="E116" s="72">
        <f t="shared" ref="E116" si="94">SUM(G116:AD116)</f>
        <v>54</v>
      </c>
      <c r="F116" s="73"/>
      <c r="G116" s="71">
        <v>2</v>
      </c>
      <c r="H116" s="72">
        <v>4</v>
      </c>
      <c r="I116" s="72">
        <v>2</v>
      </c>
      <c r="J116" s="71">
        <v>4</v>
      </c>
      <c r="K116" s="74">
        <v>2</v>
      </c>
      <c r="L116" s="75">
        <v>4</v>
      </c>
      <c r="M116" s="75">
        <v>2</v>
      </c>
      <c r="N116" s="75">
        <v>4</v>
      </c>
      <c r="O116" s="75">
        <v>2</v>
      </c>
      <c r="P116" s="75">
        <v>4</v>
      </c>
      <c r="Q116" s="71">
        <v>2</v>
      </c>
      <c r="R116" s="71">
        <v>4</v>
      </c>
      <c r="S116" s="72">
        <v>2</v>
      </c>
      <c r="T116" s="72">
        <v>4</v>
      </c>
      <c r="U116" s="72">
        <v>2</v>
      </c>
      <c r="V116" s="72">
        <v>4</v>
      </c>
      <c r="W116" s="72">
        <v>2</v>
      </c>
      <c r="X116" s="72">
        <v>4</v>
      </c>
      <c r="Y116" s="72"/>
      <c r="Z116" s="72"/>
      <c r="AA116" s="72"/>
      <c r="AB116" s="72"/>
      <c r="AC116" s="72"/>
      <c r="AD116" s="72"/>
      <c r="AE116" s="76"/>
      <c r="AM116" s="12"/>
      <c r="AN116" s="96"/>
      <c r="AO116" s="149"/>
      <c r="AP116" s="149"/>
      <c r="AQ116" s="11"/>
      <c r="AR116" s="11"/>
    </row>
    <row r="117" spans="1:44" s="4" customFormat="1" ht="19.5" thickBot="1">
      <c r="A117" s="88"/>
      <c r="B117" s="89"/>
      <c r="C117" s="79"/>
      <c r="D117" s="80"/>
      <c r="E117" s="80"/>
      <c r="F117" s="81">
        <f t="shared" ref="F117" si="95">SUM(G117:AD117)</f>
        <v>0</v>
      </c>
      <c r="G117" s="79"/>
      <c r="H117" s="80"/>
      <c r="I117" s="80"/>
      <c r="J117" s="79"/>
      <c r="K117" s="79"/>
      <c r="L117" s="80"/>
      <c r="M117" s="80"/>
      <c r="N117" s="80"/>
      <c r="O117" s="80"/>
      <c r="P117" s="80"/>
      <c r="Q117" s="86"/>
      <c r="R117" s="86"/>
      <c r="S117" s="87"/>
      <c r="T117" s="87"/>
      <c r="U117" s="87"/>
      <c r="V117" s="87"/>
      <c r="W117" s="87"/>
      <c r="X117" s="87"/>
      <c r="Y117" s="87"/>
      <c r="Z117" s="87"/>
      <c r="AA117" s="87"/>
      <c r="AB117" s="87"/>
      <c r="AC117" s="87"/>
      <c r="AD117" s="87"/>
      <c r="AE117" s="81">
        <v>36</v>
      </c>
      <c r="AM117" s="12"/>
      <c r="AN117" s="96"/>
      <c r="AO117" s="149"/>
      <c r="AP117" s="149"/>
      <c r="AQ117" s="11"/>
      <c r="AR117" s="11"/>
    </row>
    <row r="118" spans="1:44" s="4" customFormat="1" ht="37.5">
      <c r="A118" s="82">
        <v>33</v>
      </c>
      <c r="B118" s="83" t="s">
        <v>66</v>
      </c>
      <c r="C118" s="64">
        <f t="shared" ref="C118" si="96">SUM(D118:F120)</f>
        <v>54</v>
      </c>
      <c r="D118" s="65">
        <f t="shared" ref="D118" si="97">SUM(G118:AD118)</f>
        <v>18</v>
      </c>
      <c r="E118" s="65"/>
      <c r="F118" s="66"/>
      <c r="G118" s="67">
        <v>2</v>
      </c>
      <c r="H118" s="68"/>
      <c r="I118" s="68">
        <v>2</v>
      </c>
      <c r="J118" s="67"/>
      <c r="K118" s="64">
        <v>2</v>
      </c>
      <c r="L118" s="65"/>
      <c r="M118" s="65">
        <v>2</v>
      </c>
      <c r="N118" s="65"/>
      <c r="O118" s="65">
        <v>2</v>
      </c>
      <c r="P118" s="65"/>
      <c r="Q118" s="64">
        <v>2</v>
      </c>
      <c r="R118" s="64"/>
      <c r="S118" s="65">
        <v>2</v>
      </c>
      <c r="T118" s="65"/>
      <c r="U118" s="65">
        <v>2</v>
      </c>
      <c r="V118" s="65"/>
      <c r="W118" s="65">
        <v>2</v>
      </c>
      <c r="X118" s="65"/>
      <c r="Y118" s="65"/>
      <c r="Z118" s="65"/>
      <c r="AA118" s="65"/>
      <c r="AB118" s="65"/>
      <c r="AC118" s="65"/>
      <c r="AD118" s="65"/>
      <c r="AE118" s="66" t="s">
        <v>23</v>
      </c>
      <c r="AM118" s="11"/>
      <c r="AN118" s="11"/>
      <c r="AO118" s="11"/>
      <c r="AP118" s="11"/>
      <c r="AQ118" s="11"/>
      <c r="AR118" s="11"/>
    </row>
    <row r="119" spans="1:44" s="4" customFormat="1">
      <c r="A119" s="84"/>
      <c r="B119" s="85"/>
      <c r="C119" s="71"/>
      <c r="D119" s="72"/>
      <c r="E119" s="72">
        <f t="shared" ref="E119" si="98">SUM(G119:AD119)</f>
        <v>36</v>
      </c>
      <c r="F119" s="73"/>
      <c r="G119" s="71">
        <v>2</v>
      </c>
      <c r="H119" s="71">
        <v>2</v>
      </c>
      <c r="I119" s="71">
        <v>2</v>
      </c>
      <c r="J119" s="71">
        <v>2</v>
      </c>
      <c r="K119" s="71">
        <v>2</v>
      </c>
      <c r="L119" s="71">
        <v>2</v>
      </c>
      <c r="M119" s="71">
        <v>2</v>
      </c>
      <c r="N119" s="71">
        <v>2</v>
      </c>
      <c r="O119" s="71">
        <v>2</v>
      </c>
      <c r="P119" s="71">
        <v>2</v>
      </c>
      <c r="Q119" s="71">
        <v>2</v>
      </c>
      <c r="R119" s="71">
        <v>2</v>
      </c>
      <c r="S119" s="71">
        <v>2</v>
      </c>
      <c r="T119" s="71">
        <v>2</v>
      </c>
      <c r="U119" s="71">
        <v>2</v>
      </c>
      <c r="V119" s="71">
        <v>2</v>
      </c>
      <c r="W119" s="71">
        <v>2</v>
      </c>
      <c r="X119" s="72">
        <v>2</v>
      </c>
      <c r="Y119" s="72"/>
      <c r="Z119" s="72"/>
      <c r="AA119" s="72"/>
      <c r="AB119" s="72"/>
      <c r="AC119" s="72"/>
      <c r="AD119" s="72"/>
      <c r="AE119" s="76"/>
      <c r="AM119" s="12"/>
      <c r="AN119" s="96"/>
      <c r="AO119" s="149"/>
      <c r="AP119" s="149"/>
      <c r="AQ119" s="11"/>
      <c r="AR119" s="11"/>
    </row>
    <row r="120" spans="1:44" s="4" customFormat="1" ht="19.5" thickBot="1">
      <c r="A120" s="88"/>
      <c r="B120" s="89"/>
      <c r="C120" s="79"/>
      <c r="D120" s="80"/>
      <c r="E120" s="80"/>
      <c r="F120" s="81">
        <f t="shared" ref="F120" si="99">SUM(G120:AD120)</f>
        <v>0</v>
      </c>
      <c r="G120" s="79"/>
      <c r="H120" s="80"/>
      <c r="I120" s="80"/>
      <c r="J120" s="79"/>
      <c r="K120" s="79"/>
      <c r="L120" s="80"/>
      <c r="M120" s="80"/>
      <c r="N120" s="80"/>
      <c r="O120" s="80"/>
      <c r="P120" s="80"/>
      <c r="Q120" s="79"/>
      <c r="R120" s="79"/>
      <c r="S120" s="80"/>
      <c r="T120" s="80"/>
      <c r="U120" s="80"/>
      <c r="V120" s="80"/>
      <c r="W120" s="80"/>
      <c r="X120" s="80"/>
      <c r="Y120" s="87"/>
      <c r="Z120" s="87"/>
      <c r="AA120" s="87"/>
      <c r="AB120" s="87"/>
      <c r="AC120" s="87"/>
      <c r="AD120" s="87"/>
      <c r="AE120" s="81">
        <v>27</v>
      </c>
      <c r="AM120" s="12"/>
      <c r="AN120" s="96"/>
      <c r="AO120" s="149"/>
      <c r="AP120" s="149"/>
      <c r="AQ120" s="11"/>
      <c r="AR120" s="11"/>
    </row>
    <row r="121" spans="1:44" ht="19.5">
      <c r="A121" s="82">
        <v>33</v>
      </c>
      <c r="B121" s="83" t="s">
        <v>47</v>
      </c>
      <c r="C121" s="64">
        <f t="shared" ref="C121" si="100">SUM(D121:F123)</f>
        <v>36</v>
      </c>
      <c r="D121" s="65">
        <f t="shared" ref="D121" si="101">SUM(G121:AD121)</f>
        <v>18</v>
      </c>
      <c r="E121" s="65"/>
      <c r="F121" s="66"/>
      <c r="G121" s="67">
        <v>2</v>
      </c>
      <c r="H121" s="68"/>
      <c r="I121" s="68">
        <v>2</v>
      </c>
      <c r="J121" s="67"/>
      <c r="K121" s="64">
        <v>2</v>
      </c>
      <c r="L121" s="65"/>
      <c r="M121" s="65">
        <v>2</v>
      </c>
      <c r="N121" s="65"/>
      <c r="O121" s="65">
        <v>2</v>
      </c>
      <c r="P121" s="65"/>
      <c r="Q121" s="64">
        <v>2</v>
      </c>
      <c r="R121" s="64"/>
      <c r="S121" s="65">
        <v>2</v>
      </c>
      <c r="T121" s="65"/>
      <c r="U121" s="65">
        <v>2</v>
      </c>
      <c r="V121" s="65"/>
      <c r="W121" s="65">
        <v>2</v>
      </c>
      <c r="X121" s="65"/>
      <c r="Y121" s="65"/>
      <c r="Z121" s="65"/>
      <c r="AA121" s="65"/>
      <c r="AB121" s="65"/>
      <c r="AC121" s="65"/>
      <c r="AD121" s="65"/>
      <c r="AE121" s="66" t="s">
        <v>19</v>
      </c>
    </row>
    <row r="122" spans="1:44">
      <c r="A122" s="84"/>
      <c r="B122" s="85"/>
      <c r="C122" s="71"/>
      <c r="D122" s="72"/>
      <c r="E122" s="72">
        <f t="shared" ref="E122" si="102">SUM(G122:AD122)</f>
        <v>18</v>
      </c>
      <c r="F122" s="73"/>
      <c r="G122" s="100"/>
      <c r="H122" s="72">
        <v>2</v>
      </c>
      <c r="I122" s="71"/>
      <c r="J122" s="72">
        <v>2</v>
      </c>
      <c r="K122" s="71"/>
      <c r="L122" s="72">
        <v>2</v>
      </c>
      <c r="M122" s="72"/>
      <c r="N122" s="72">
        <v>2</v>
      </c>
      <c r="O122" s="72"/>
      <c r="P122" s="72">
        <v>2</v>
      </c>
      <c r="Q122" s="71"/>
      <c r="R122" s="71">
        <v>2</v>
      </c>
      <c r="S122" s="72"/>
      <c r="T122" s="72">
        <v>2</v>
      </c>
      <c r="U122" s="72"/>
      <c r="V122" s="72">
        <v>2</v>
      </c>
      <c r="W122" s="72"/>
      <c r="X122" s="72">
        <v>2</v>
      </c>
      <c r="Y122" s="72"/>
      <c r="Z122" s="72"/>
      <c r="AA122" s="72"/>
      <c r="AB122" s="72"/>
      <c r="AC122" s="72"/>
      <c r="AD122" s="72"/>
      <c r="AE122" s="76"/>
    </row>
    <row r="123" spans="1:44" ht="19.5" thickBot="1">
      <c r="A123" s="88"/>
      <c r="B123" s="89"/>
      <c r="C123" s="79"/>
      <c r="D123" s="80"/>
      <c r="E123" s="80"/>
      <c r="F123" s="81">
        <f t="shared" ref="F123" si="103">SUM(G123:AD123)</f>
        <v>0</v>
      </c>
      <c r="G123" s="86"/>
      <c r="H123" s="87"/>
      <c r="I123" s="86"/>
      <c r="J123" s="79"/>
      <c r="K123" s="86"/>
      <c r="L123" s="87"/>
      <c r="M123" s="87"/>
      <c r="N123" s="87"/>
      <c r="O123" s="87"/>
      <c r="P123" s="87"/>
      <c r="Q123" s="86"/>
      <c r="R123" s="86"/>
      <c r="S123" s="87"/>
      <c r="T123" s="87"/>
      <c r="U123" s="87"/>
      <c r="V123" s="87"/>
      <c r="W123" s="87"/>
      <c r="X123" s="87"/>
      <c r="Y123" s="87"/>
      <c r="Z123" s="87"/>
      <c r="AA123" s="87"/>
      <c r="AB123" s="87"/>
      <c r="AC123" s="87"/>
      <c r="AD123" s="87"/>
      <c r="AE123" s="81">
        <v>27</v>
      </c>
    </row>
    <row r="124" spans="1:44" ht="56.25">
      <c r="A124" s="82">
        <v>33</v>
      </c>
      <c r="B124" s="83" t="s">
        <v>33</v>
      </c>
      <c r="C124" s="64">
        <f t="shared" ref="C124" si="104">SUM(D124:F126)</f>
        <v>18</v>
      </c>
      <c r="D124" s="65">
        <f t="shared" ref="D124" si="105">SUM(G124:AD124)</f>
        <v>0</v>
      </c>
      <c r="E124" s="65"/>
      <c r="F124" s="66"/>
      <c r="G124" s="67"/>
      <c r="H124" s="68"/>
      <c r="I124" s="68"/>
      <c r="J124" s="67"/>
      <c r="K124" s="64"/>
      <c r="L124" s="65"/>
      <c r="M124" s="65"/>
      <c r="N124" s="65"/>
      <c r="O124" s="65"/>
      <c r="P124" s="65"/>
      <c r="Q124" s="64"/>
      <c r="R124" s="64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6" t="s">
        <v>18</v>
      </c>
    </row>
    <row r="125" spans="1:44" ht="19.5">
      <c r="A125" s="84"/>
      <c r="B125" s="99" t="s">
        <v>27</v>
      </c>
      <c r="C125" s="71"/>
      <c r="D125" s="72"/>
      <c r="E125" s="72">
        <f t="shared" ref="E125" si="106">SUM(G125:AD125)</f>
        <v>18</v>
      </c>
      <c r="F125" s="73"/>
      <c r="G125" s="100"/>
      <c r="H125" s="72">
        <v>2</v>
      </c>
      <c r="I125" s="71"/>
      <c r="J125" s="72">
        <v>2</v>
      </c>
      <c r="K125" s="71"/>
      <c r="L125" s="72">
        <v>2</v>
      </c>
      <c r="M125" s="72"/>
      <c r="N125" s="72">
        <v>2</v>
      </c>
      <c r="O125" s="72"/>
      <c r="P125" s="72">
        <v>2</v>
      </c>
      <c r="Q125" s="71"/>
      <c r="R125" s="71">
        <v>2</v>
      </c>
      <c r="S125" s="72"/>
      <c r="T125" s="72">
        <v>2</v>
      </c>
      <c r="U125" s="72"/>
      <c r="V125" s="72">
        <v>2</v>
      </c>
      <c r="W125" s="72"/>
      <c r="X125" s="72">
        <v>2</v>
      </c>
      <c r="Y125" s="72"/>
      <c r="Z125" s="72"/>
      <c r="AA125" s="72"/>
      <c r="AB125" s="72"/>
      <c r="AC125" s="72"/>
      <c r="AD125" s="72"/>
      <c r="AE125" s="76"/>
    </row>
    <row r="126" spans="1:44" ht="19.5" thickBot="1">
      <c r="A126" s="88"/>
      <c r="B126" s="136"/>
      <c r="C126" s="111"/>
      <c r="D126" s="137"/>
      <c r="E126" s="137"/>
      <c r="F126" s="138">
        <f t="shared" ref="F126" si="107">SUM(G126:AD126)</f>
        <v>0</v>
      </c>
      <c r="G126" s="100"/>
      <c r="H126" s="139"/>
      <c r="I126" s="100"/>
      <c r="J126" s="111"/>
      <c r="K126" s="100"/>
      <c r="L126" s="139"/>
      <c r="M126" s="139"/>
      <c r="N126" s="139"/>
      <c r="O126" s="139"/>
      <c r="P126" s="139"/>
      <c r="Q126" s="100"/>
      <c r="R126" s="100"/>
      <c r="S126" s="139"/>
      <c r="T126" s="139"/>
      <c r="U126" s="139"/>
      <c r="V126" s="139"/>
      <c r="W126" s="139"/>
      <c r="X126" s="139"/>
      <c r="Y126" s="139"/>
      <c r="Z126" s="139"/>
      <c r="AA126" s="139"/>
      <c r="AB126" s="139"/>
      <c r="AC126" s="139"/>
      <c r="AD126" s="139"/>
      <c r="AE126" s="138">
        <v>9</v>
      </c>
    </row>
    <row r="127" spans="1:44" ht="57" customHeight="1" thickBot="1">
      <c r="A127" s="190" t="s">
        <v>28</v>
      </c>
      <c r="B127" s="190"/>
      <c r="C127" s="190"/>
      <c r="D127" s="190"/>
      <c r="E127" s="190"/>
      <c r="F127" s="190"/>
      <c r="G127" s="190"/>
      <c r="H127" s="190"/>
      <c r="I127" s="190"/>
      <c r="J127" s="190"/>
      <c r="K127" s="190"/>
      <c r="L127" s="190"/>
      <c r="M127" s="190"/>
      <c r="N127" s="190"/>
      <c r="O127" s="190"/>
      <c r="P127" s="190"/>
      <c r="Q127" s="190"/>
      <c r="R127" s="190"/>
      <c r="S127" s="190"/>
      <c r="T127" s="190"/>
      <c r="U127" s="190"/>
      <c r="V127" s="190"/>
      <c r="W127" s="190"/>
      <c r="X127" s="190"/>
      <c r="Y127" s="190"/>
      <c r="Z127" s="190"/>
      <c r="AA127" s="190"/>
      <c r="AB127" s="190"/>
      <c r="AC127" s="190"/>
      <c r="AD127" s="190"/>
      <c r="AE127" s="190"/>
    </row>
    <row r="128" spans="1:44" s="4" customFormat="1" ht="31.5" customHeight="1" thickBot="1">
      <c r="A128" s="147" t="s">
        <v>75</v>
      </c>
      <c r="B128" s="147"/>
      <c r="C128" s="147"/>
      <c r="D128" s="147"/>
      <c r="E128" s="147"/>
      <c r="F128" s="147"/>
      <c r="G128" s="148"/>
      <c r="H128" s="148"/>
      <c r="I128" s="148"/>
      <c r="J128" s="148"/>
      <c r="K128" s="148"/>
      <c r="L128" s="148"/>
      <c r="M128" s="148"/>
      <c r="N128" s="148"/>
      <c r="O128" s="148"/>
      <c r="P128" s="148"/>
      <c r="Q128" s="147"/>
      <c r="R128" s="148"/>
      <c r="S128" s="147"/>
      <c r="T128" s="147"/>
      <c r="U128" s="147"/>
      <c r="V128" s="147"/>
      <c r="W128" s="147"/>
      <c r="X128" s="147"/>
      <c r="Y128" s="147"/>
      <c r="Z128" s="147"/>
      <c r="AA128" s="147"/>
      <c r="AB128" s="147"/>
      <c r="AC128" s="147"/>
      <c r="AD128" s="147"/>
      <c r="AE128" s="147"/>
    </row>
    <row r="129" spans="1:44" s="4" customFormat="1" ht="19.5">
      <c r="A129" s="114">
        <v>33</v>
      </c>
      <c r="B129" s="115" t="s">
        <v>47</v>
      </c>
      <c r="C129" s="116">
        <f>SUM(D129:F131)</f>
        <v>50</v>
      </c>
      <c r="D129" s="117">
        <f>SUM(K129:Q129)</f>
        <v>40</v>
      </c>
      <c r="E129" s="117"/>
      <c r="F129" s="118"/>
      <c r="G129" s="150"/>
      <c r="H129" s="151"/>
      <c r="I129" s="151"/>
      <c r="J129" s="152"/>
      <c r="K129" s="116">
        <v>6</v>
      </c>
      <c r="L129" s="117">
        <v>6</v>
      </c>
      <c r="M129" s="117">
        <v>6</v>
      </c>
      <c r="N129" s="117">
        <v>6</v>
      </c>
      <c r="O129" s="117">
        <v>6</v>
      </c>
      <c r="P129" s="117">
        <v>6</v>
      </c>
      <c r="Q129" s="107">
        <v>4</v>
      </c>
      <c r="R129" s="158"/>
      <c r="S129" s="116"/>
      <c r="T129" s="117"/>
      <c r="U129" s="117"/>
      <c r="V129" s="117"/>
      <c r="W129" s="117"/>
      <c r="X129" s="117"/>
      <c r="Y129" s="117"/>
      <c r="Z129" s="117"/>
      <c r="AA129" s="117"/>
      <c r="AB129" s="117"/>
      <c r="AC129" s="117"/>
      <c r="AD129" s="117"/>
      <c r="AE129" s="107" t="s">
        <v>26</v>
      </c>
      <c r="AM129" s="11"/>
      <c r="AN129" s="11"/>
      <c r="AO129" s="11"/>
      <c r="AP129" s="11"/>
      <c r="AQ129" s="11"/>
      <c r="AR129" s="11"/>
    </row>
    <row r="130" spans="1:44" s="4" customFormat="1">
      <c r="A130" s="119"/>
      <c r="B130" s="120"/>
      <c r="C130" s="121"/>
      <c r="D130" s="122"/>
      <c r="E130" s="122">
        <f>SUM(K130:Q130)</f>
        <v>8</v>
      </c>
      <c r="F130" s="123"/>
      <c r="G130" s="153"/>
      <c r="H130" s="148"/>
      <c r="I130" s="148"/>
      <c r="J130" s="154"/>
      <c r="K130" s="121"/>
      <c r="L130" s="122">
        <v>4</v>
      </c>
      <c r="M130" s="122"/>
      <c r="N130" s="122">
        <v>4</v>
      </c>
      <c r="O130" s="122"/>
      <c r="P130" s="122"/>
      <c r="Q130" s="124"/>
      <c r="R130" s="159"/>
      <c r="S130" s="121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12"/>
      <c r="AM130" s="12"/>
      <c r="AN130" s="96"/>
      <c r="AO130" s="149"/>
      <c r="AP130" s="149"/>
      <c r="AQ130" s="11"/>
      <c r="AR130" s="11"/>
    </row>
    <row r="131" spans="1:44" s="4" customFormat="1" ht="19.5" thickBot="1">
      <c r="A131" s="135"/>
      <c r="B131" s="134"/>
      <c r="C131" s="102"/>
      <c r="D131" s="103"/>
      <c r="E131" s="103"/>
      <c r="F131" s="127">
        <f>SUM(K131:Q131)</f>
        <v>2</v>
      </c>
      <c r="G131" s="155"/>
      <c r="H131" s="156"/>
      <c r="I131" s="156"/>
      <c r="J131" s="157"/>
      <c r="K131" s="104"/>
      <c r="L131" s="105"/>
      <c r="M131" s="105"/>
      <c r="N131" s="105"/>
      <c r="O131" s="105"/>
      <c r="P131" s="105">
        <v>2</v>
      </c>
      <c r="Q131" s="106"/>
      <c r="R131" s="160"/>
      <c r="S131" s="104"/>
      <c r="T131" s="105"/>
      <c r="U131" s="105"/>
      <c r="V131" s="105"/>
      <c r="W131" s="105"/>
      <c r="X131" s="105"/>
      <c r="Y131" s="105"/>
      <c r="Z131" s="105"/>
      <c r="AA131" s="105"/>
      <c r="AB131" s="105"/>
      <c r="AC131" s="105"/>
      <c r="AD131" s="105"/>
      <c r="AE131" s="108">
        <v>9</v>
      </c>
      <c r="AM131" s="12"/>
      <c r="AN131" s="96"/>
      <c r="AO131" s="149"/>
      <c r="AP131" s="149"/>
      <c r="AQ131" s="11"/>
      <c r="AR131" s="11"/>
    </row>
    <row r="132" spans="1:44" s="4" customFormat="1" ht="30" customHeight="1" thickBot="1">
      <c r="A132" s="147" t="s">
        <v>76</v>
      </c>
      <c r="B132" s="147"/>
      <c r="C132" s="147"/>
      <c r="D132" s="147"/>
      <c r="E132" s="147"/>
      <c r="F132" s="147"/>
      <c r="G132" s="148"/>
      <c r="H132" s="148"/>
      <c r="I132" s="148"/>
      <c r="J132" s="148"/>
      <c r="K132" s="148"/>
      <c r="L132" s="148"/>
      <c r="M132" s="148"/>
      <c r="N132" s="148"/>
      <c r="O132" s="148"/>
      <c r="P132" s="148"/>
      <c r="Q132" s="147"/>
      <c r="R132" s="147"/>
      <c r="S132" s="147"/>
      <c r="T132" s="147"/>
      <c r="U132" s="147"/>
      <c r="V132" s="147"/>
      <c r="W132" s="147"/>
      <c r="X132" s="147"/>
      <c r="Y132" s="147"/>
      <c r="Z132" s="147"/>
      <c r="AA132" s="147"/>
      <c r="AB132" s="147"/>
      <c r="AC132" s="147"/>
      <c r="AD132" s="147"/>
      <c r="AE132" s="147"/>
    </row>
    <row r="133" spans="1:44" s="4" customFormat="1" ht="19.5">
      <c r="A133" s="114">
        <v>33</v>
      </c>
      <c r="B133" s="115" t="s">
        <v>47</v>
      </c>
      <c r="C133" s="116">
        <f t="shared" ref="C133" si="108">SUM(D133:F135)</f>
        <v>50</v>
      </c>
      <c r="D133" s="117">
        <f t="shared" ref="D133" si="109">SUM(G133:H133,M133:Q133)</f>
        <v>40</v>
      </c>
      <c r="E133" s="117"/>
      <c r="F133" s="107"/>
      <c r="G133" s="132">
        <v>6</v>
      </c>
      <c r="H133" s="133">
        <v>6</v>
      </c>
      <c r="I133" s="150"/>
      <c r="J133" s="151"/>
      <c r="K133" s="151"/>
      <c r="L133" s="152"/>
      <c r="M133" s="116">
        <v>6</v>
      </c>
      <c r="N133" s="116">
        <v>6</v>
      </c>
      <c r="O133" s="116">
        <v>6</v>
      </c>
      <c r="P133" s="116">
        <v>6</v>
      </c>
      <c r="Q133" s="107">
        <v>4</v>
      </c>
      <c r="R133" s="116"/>
      <c r="S133" s="117"/>
      <c r="T133" s="117"/>
      <c r="U133" s="117"/>
      <c r="V133" s="117"/>
      <c r="W133" s="117"/>
      <c r="X133" s="117"/>
      <c r="Y133" s="117"/>
      <c r="Z133" s="117"/>
      <c r="AA133" s="117"/>
      <c r="AB133" s="117"/>
      <c r="AC133" s="117"/>
      <c r="AD133" s="117"/>
      <c r="AE133" s="107" t="s">
        <v>26</v>
      </c>
      <c r="AM133" s="11"/>
      <c r="AN133" s="11"/>
      <c r="AO133" s="11"/>
      <c r="AP133" s="11"/>
      <c r="AQ133" s="11"/>
      <c r="AR133" s="11"/>
    </row>
    <row r="134" spans="1:44" s="4" customFormat="1">
      <c r="A134" s="119"/>
      <c r="B134" s="120"/>
      <c r="C134" s="121"/>
      <c r="D134" s="122"/>
      <c r="E134" s="122">
        <f t="shared" ref="E134" si="110">SUM(G134:H134,M134:Q134)</f>
        <v>8</v>
      </c>
      <c r="F134" s="124"/>
      <c r="G134" s="128"/>
      <c r="H134" s="129">
        <v>4</v>
      </c>
      <c r="I134" s="153"/>
      <c r="J134" s="148"/>
      <c r="K134" s="148"/>
      <c r="L134" s="154"/>
      <c r="M134" s="121"/>
      <c r="N134" s="122">
        <v>4</v>
      </c>
      <c r="O134" s="122"/>
      <c r="P134" s="122"/>
      <c r="Q134" s="124"/>
      <c r="R134" s="121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12"/>
      <c r="AM134" s="12"/>
      <c r="AN134" s="96"/>
      <c r="AO134" s="149"/>
      <c r="AP134" s="149"/>
      <c r="AQ134" s="11"/>
      <c r="AR134" s="11"/>
    </row>
    <row r="135" spans="1:44" s="4" customFormat="1" ht="19.5" thickBot="1">
      <c r="A135" s="125"/>
      <c r="B135" s="126"/>
      <c r="C135" s="102"/>
      <c r="D135" s="103"/>
      <c r="E135" s="103"/>
      <c r="F135" s="108">
        <f t="shared" ref="F135" si="111">SUM(G135:H135,M135:Q135)</f>
        <v>2</v>
      </c>
      <c r="G135" s="130"/>
      <c r="H135" s="131"/>
      <c r="I135" s="155"/>
      <c r="J135" s="156"/>
      <c r="K135" s="156"/>
      <c r="L135" s="157"/>
      <c r="M135" s="104"/>
      <c r="N135" s="105"/>
      <c r="O135" s="105"/>
      <c r="P135" s="105">
        <v>2</v>
      </c>
      <c r="Q135" s="106"/>
      <c r="R135" s="104"/>
      <c r="S135" s="105"/>
      <c r="T135" s="105"/>
      <c r="U135" s="105"/>
      <c r="V135" s="105"/>
      <c r="W135" s="105"/>
      <c r="X135" s="105"/>
      <c r="Y135" s="105"/>
      <c r="Z135" s="105"/>
      <c r="AA135" s="105"/>
      <c r="AB135" s="105"/>
      <c r="AC135" s="105"/>
      <c r="AD135" s="105"/>
      <c r="AE135" s="108">
        <v>9</v>
      </c>
      <c r="AM135" s="12"/>
      <c r="AN135" s="96"/>
      <c r="AO135" s="149"/>
      <c r="AP135" s="149"/>
      <c r="AQ135" s="11"/>
      <c r="AR135" s="11"/>
    </row>
    <row r="136" spans="1:44" s="4" customFormat="1" ht="34.5" customHeight="1" thickBot="1">
      <c r="A136" s="147" t="s">
        <v>77</v>
      </c>
      <c r="B136" s="147"/>
      <c r="C136" s="147"/>
      <c r="D136" s="147"/>
      <c r="E136" s="147"/>
      <c r="F136" s="147"/>
      <c r="G136" s="148"/>
      <c r="H136" s="148"/>
      <c r="I136" s="148"/>
      <c r="J136" s="148"/>
      <c r="K136" s="148"/>
      <c r="L136" s="148"/>
      <c r="M136" s="148"/>
      <c r="N136" s="148"/>
      <c r="O136" s="148"/>
      <c r="P136" s="148"/>
      <c r="Q136" s="147"/>
      <c r="R136" s="147"/>
      <c r="S136" s="147"/>
      <c r="T136" s="147"/>
      <c r="U136" s="147"/>
      <c r="V136" s="147"/>
      <c r="W136" s="147"/>
      <c r="X136" s="147"/>
      <c r="Y136" s="147"/>
      <c r="Z136" s="147"/>
      <c r="AA136" s="147"/>
      <c r="AB136" s="147"/>
      <c r="AC136" s="147"/>
      <c r="AD136" s="147"/>
      <c r="AE136" s="147"/>
    </row>
    <row r="137" spans="1:44" s="4" customFormat="1" ht="19.5">
      <c r="A137" s="114">
        <v>33</v>
      </c>
      <c r="B137" s="115" t="s">
        <v>47</v>
      </c>
      <c r="C137" s="116">
        <f>SUM(D137:F139)</f>
        <v>50</v>
      </c>
      <c r="D137" s="117">
        <f>SUM(G137:J137,O137:Q137)</f>
        <v>40</v>
      </c>
      <c r="E137" s="117"/>
      <c r="F137" s="107"/>
      <c r="G137" s="116">
        <v>6</v>
      </c>
      <c r="H137" s="117">
        <v>6</v>
      </c>
      <c r="I137" s="117">
        <v>6</v>
      </c>
      <c r="J137" s="118">
        <v>6</v>
      </c>
      <c r="K137" s="150"/>
      <c r="L137" s="151"/>
      <c r="M137" s="151"/>
      <c r="N137" s="152"/>
      <c r="O137" s="116">
        <v>6</v>
      </c>
      <c r="P137" s="117">
        <v>6</v>
      </c>
      <c r="Q137" s="107">
        <v>4</v>
      </c>
      <c r="R137" s="116"/>
      <c r="S137" s="117"/>
      <c r="T137" s="117"/>
      <c r="U137" s="117"/>
      <c r="V137" s="117"/>
      <c r="W137" s="117"/>
      <c r="X137" s="117"/>
      <c r="Y137" s="117"/>
      <c r="Z137" s="117"/>
      <c r="AA137" s="117"/>
      <c r="AB137" s="117"/>
      <c r="AC137" s="117"/>
      <c r="AD137" s="117"/>
      <c r="AE137" s="107" t="s">
        <v>26</v>
      </c>
      <c r="AM137" s="11"/>
      <c r="AN137" s="11"/>
      <c r="AO137" s="11"/>
      <c r="AP137" s="11"/>
      <c r="AQ137" s="11"/>
      <c r="AR137" s="11"/>
    </row>
    <row r="138" spans="1:44" s="4" customFormat="1">
      <c r="A138" s="119"/>
      <c r="B138" s="120"/>
      <c r="C138" s="121"/>
      <c r="D138" s="122"/>
      <c r="E138" s="122">
        <f>SUM(G138:J138,O138:Q138)</f>
        <v>8</v>
      </c>
      <c r="F138" s="124"/>
      <c r="G138" s="121"/>
      <c r="H138" s="122">
        <v>4</v>
      </c>
      <c r="I138" s="122"/>
      <c r="J138" s="123">
        <v>4</v>
      </c>
      <c r="K138" s="153"/>
      <c r="L138" s="148"/>
      <c r="M138" s="148"/>
      <c r="N138" s="154"/>
      <c r="O138" s="121"/>
      <c r="P138" s="122"/>
      <c r="Q138" s="124"/>
      <c r="R138" s="121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12"/>
      <c r="AM138" s="12"/>
      <c r="AN138" s="96"/>
      <c r="AO138" s="149"/>
      <c r="AP138" s="149"/>
      <c r="AQ138" s="11"/>
      <c r="AR138" s="11"/>
    </row>
    <row r="139" spans="1:44" s="4" customFormat="1" ht="19.5" thickBot="1">
      <c r="A139" s="125"/>
      <c r="B139" s="126"/>
      <c r="C139" s="102"/>
      <c r="D139" s="103"/>
      <c r="E139" s="103"/>
      <c r="F139" s="108">
        <f>SUM(G139:J139,O139:Q139)</f>
        <v>2</v>
      </c>
      <c r="G139" s="104"/>
      <c r="H139" s="105"/>
      <c r="I139" s="105"/>
      <c r="J139" s="141"/>
      <c r="K139" s="155"/>
      <c r="L139" s="156"/>
      <c r="M139" s="156"/>
      <c r="N139" s="157"/>
      <c r="O139" s="104"/>
      <c r="P139" s="105">
        <v>2</v>
      </c>
      <c r="Q139" s="106"/>
      <c r="R139" s="104"/>
      <c r="S139" s="105"/>
      <c r="T139" s="105"/>
      <c r="U139" s="105"/>
      <c r="V139" s="105"/>
      <c r="W139" s="105"/>
      <c r="X139" s="105"/>
      <c r="Y139" s="105"/>
      <c r="Z139" s="105"/>
      <c r="AA139" s="105"/>
      <c r="AB139" s="105"/>
      <c r="AC139" s="105"/>
      <c r="AD139" s="105"/>
      <c r="AE139" s="108">
        <v>9</v>
      </c>
      <c r="AM139" s="12"/>
      <c r="AN139" s="96"/>
      <c r="AO139" s="149"/>
      <c r="AP139" s="149"/>
      <c r="AQ139" s="11"/>
      <c r="AR139" s="11"/>
    </row>
    <row r="140" spans="1:44" s="4" customFormat="1" ht="19.5" thickBot="1">
      <c r="A140" s="147" t="s">
        <v>79</v>
      </c>
      <c r="B140" s="147"/>
      <c r="C140" s="147"/>
      <c r="D140" s="147"/>
      <c r="E140" s="147"/>
      <c r="F140" s="147"/>
      <c r="G140" s="147"/>
      <c r="H140" s="147"/>
      <c r="I140" s="147"/>
      <c r="J140" s="147"/>
      <c r="K140" s="148"/>
      <c r="L140" s="148"/>
      <c r="M140" s="148"/>
      <c r="N140" s="148"/>
      <c r="O140" s="148"/>
      <c r="P140" s="148"/>
      <c r="Q140" s="147"/>
      <c r="R140" s="147"/>
      <c r="S140" s="147"/>
      <c r="T140" s="147"/>
      <c r="U140" s="147"/>
      <c r="V140" s="147"/>
      <c r="W140" s="147"/>
      <c r="X140" s="147"/>
      <c r="Y140" s="147"/>
      <c r="Z140" s="147"/>
      <c r="AA140" s="147"/>
      <c r="AB140" s="147"/>
      <c r="AC140" s="147"/>
      <c r="AD140" s="147"/>
      <c r="AE140" s="147"/>
      <c r="AM140" s="12"/>
      <c r="AN140" s="96"/>
      <c r="AO140" s="142"/>
      <c r="AP140" s="142"/>
      <c r="AQ140" s="11"/>
      <c r="AR140" s="11"/>
    </row>
    <row r="141" spans="1:44" ht="19.5">
      <c r="A141" s="82">
        <v>33</v>
      </c>
      <c r="B141" s="83" t="s">
        <v>47</v>
      </c>
      <c r="C141" s="64">
        <f t="shared" ref="C141" si="112">SUM(D141:F143)</f>
        <v>36</v>
      </c>
      <c r="D141" s="65">
        <f t="shared" ref="D141" si="113">SUM(G141:AD141)</f>
        <v>18</v>
      </c>
      <c r="E141" s="65"/>
      <c r="F141" s="66"/>
      <c r="G141" s="67">
        <v>2</v>
      </c>
      <c r="H141" s="67"/>
      <c r="I141" s="67">
        <v>2</v>
      </c>
      <c r="J141" s="67"/>
      <c r="K141" s="67">
        <v>2</v>
      </c>
      <c r="L141" s="67"/>
      <c r="M141" s="67">
        <v>2</v>
      </c>
      <c r="N141" s="67"/>
      <c r="O141" s="67">
        <v>2</v>
      </c>
      <c r="P141" s="67"/>
      <c r="Q141" s="67">
        <v>2</v>
      </c>
      <c r="R141" s="67"/>
      <c r="S141" s="67">
        <v>2</v>
      </c>
      <c r="T141" s="67"/>
      <c r="U141" s="67">
        <v>2</v>
      </c>
      <c r="V141" s="67"/>
      <c r="W141" s="67">
        <v>2</v>
      </c>
      <c r="X141" s="67"/>
      <c r="Y141" s="64"/>
      <c r="Z141" s="65"/>
      <c r="AA141" s="65"/>
      <c r="AB141" s="65"/>
      <c r="AC141" s="65"/>
      <c r="AD141" s="65"/>
      <c r="AE141" s="66" t="s">
        <v>18</v>
      </c>
    </row>
    <row r="142" spans="1:44">
      <c r="A142" s="84"/>
      <c r="B142" s="85"/>
      <c r="C142" s="71"/>
      <c r="D142" s="72"/>
      <c r="E142" s="72">
        <f t="shared" ref="E142" si="114">SUM(G142:AD142)</f>
        <v>18</v>
      </c>
      <c r="F142" s="73"/>
      <c r="G142" s="71"/>
      <c r="H142" s="71">
        <v>2</v>
      </c>
      <c r="I142" s="71"/>
      <c r="J142" s="71">
        <v>2</v>
      </c>
      <c r="K142" s="71"/>
      <c r="L142" s="71">
        <v>2</v>
      </c>
      <c r="M142" s="71"/>
      <c r="N142" s="71">
        <v>2</v>
      </c>
      <c r="O142" s="71"/>
      <c r="P142" s="71">
        <v>2</v>
      </c>
      <c r="Q142" s="71"/>
      <c r="R142" s="71">
        <v>2</v>
      </c>
      <c r="S142" s="71"/>
      <c r="T142" s="71">
        <v>2</v>
      </c>
      <c r="U142" s="71"/>
      <c r="V142" s="71">
        <v>2</v>
      </c>
      <c r="W142" s="71"/>
      <c r="X142" s="72">
        <v>2</v>
      </c>
      <c r="Y142" s="71"/>
      <c r="Z142" s="72"/>
      <c r="AA142" s="72"/>
      <c r="AB142" s="72"/>
      <c r="AC142" s="72"/>
      <c r="AD142" s="72"/>
      <c r="AE142" s="76"/>
    </row>
    <row r="143" spans="1:44" ht="19.5" thickBot="1">
      <c r="A143" s="191"/>
      <c r="B143" s="192"/>
      <c r="C143" s="79"/>
      <c r="D143" s="80"/>
      <c r="E143" s="80"/>
      <c r="F143" s="81">
        <f t="shared" ref="F143" si="115">SUM(G143:AD143)</f>
        <v>0</v>
      </c>
      <c r="G143" s="79"/>
      <c r="H143" s="80"/>
      <c r="I143" s="80"/>
      <c r="J143" s="79"/>
      <c r="K143" s="79"/>
      <c r="L143" s="80"/>
      <c r="M143" s="80"/>
      <c r="N143" s="80"/>
      <c r="O143" s="80"/>
      <c r="P143" s="80"/>
      <c r="Q143" s="79"/>
      <c r="R143" s="79"/>
      <c r="S143" s="80"/>
      <c r="T143" s="80"/>
      <c r="U143" s="80"/>
      <c r="V143" s="80"/>
      <c r="W143" s="80"/>
      <c r="X143" s="80"/>
      <c r="Y143" s="79"/>
      <c r="Z143" s="80"/>
      <c r="AA143" s="80"/>
      <c r="AB143" s="80"/>
      <c r="AC143" s="80"/>
      <c r="AD143" s="80"/>
      <c r="AE143" s="81">
        <v>9</v>
      </c>
    </row>
    <row r="144" spans="1:44" ht="19.5" customHeight="1" thickBot="1">
      <c r="A144" s="144" t="s">
        <v>30</v>
      </c>
      <c r="B144" s="145"/>
      <c r="C144" s="145"/>
      <c r="D144" s="145"/>
      <c r="E144" s="145"/>
      <c r="F144" s="145"/>
      <c r="G144" s="145"/>
      <c r="H144" s="145"/>
      <c r="I144" s="145"/>
      <c r="J144" s="145"/>
      <c r="K144" s="145"/>
      <c r="L144" s="145"/>
      <c r="M144" s="145"/>
      <c r="N144" s="145"/>
      <c r="O144" s="145"/>
      <c r="P144" s="145"/>
      <c r="Q144" s="145"/>
      <c r="R144" s="145"/>
      <c r="S144" s="145"/>
      <c r="T144" s="145"/>
      <c r="U144" s="145"/>
      <c r="V144" s="145"/>
      <c r="W144" s="145"/>
      <c r="X144" s="145"/>
      <c r="Y144" s="145"/>
      <c r="Z144" s="145"/>
      <c r="AA144" s="145"/>
      <c r="AB144" s="145"/>
      <c r="AC144" s="145"/>
      <c r="AD144" s="145"/>
      <c r="AE144" s="146"/>
    </row>
    <row r="145" spans="1:44" s="4" customFormat="1" ht="19.5">
      <c r="A145" s="82">
        <v>33</v>
      </c>
      <c r="B145" s="83" t="s">
        <v>36</v>
      </c>
      <c r="C145" s="64">
        <f t="shared" ref="C145" si="116">SUM(D145:F147)</f>
        <v>40</v>
      </c>
      <c r="D145" s="65">
        <f t="shared" ref="D145" si="117">SUM(G145:AD145)</f>
        <v>16</v>
      </c>
      <c r="E145" s="65"/>
      <c r="F145" s="66"/>
      <c r="G145" s="67">
        <v>2</v>
      </c>
      <c r="H145" s="67">
        <v>2</v>
      </c>
      <c r="I145" s="67">
        <v>2</v>
      </c>
      <c r="J145" s="67">
        <v>2</v>
      </c>
      <c r="K145" s="67">
        <v>2</v>
      </c>
      <c r="L145" s="67">
        <v>2</v>
      </c>
      <c r="M145" s="67">
        <v>2</v>
      </c>
      <c r="N145" s="67">
        <v>2</v>
      </c>
      <c r="O145" s="65"/>
      <c r="P145" s="65"/>
      <c r="Q145" s="64"/>
      <c r="R145" s="64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6" t="s">
        <v>19</v>
      </c>
      <c r="AM145" s="11"/>
      <c r="AN145" s="11"/>
      <c r="AO145" s="11"/>
      <c r="AP145" s="11"/>
      <c r="AQ145" s="11"/>
      <c r="AR145" s="11"/>
    </row>
    <row r="146" spans="1:44" s="4" customFormat="1">
      <c r="A146" s="84"/>
      <c r="B146" s="85"/>
      <c r="C146" s="71"/>
      <c r="D146" s="72"/>
      <c r="E146" s="72">
        <f t="shared" ref="E146" si="118">SUM(G146:AD146)</f>
        <v>24</v>
      </c>
      <c r="F146" s="73"/>
      <c r="G146" s="100">
        <v>2</v>
      </c>
      <c r="H146" s="72">
        <v>4</v>
      </c>
      <c r="I146" s="71">
        <v>2</v>
      </c>
      <c r="J146" s="72">
        <v>4</v>
      </c>
      <c r="K146" s="71">
        <v>2</v>
      </c>
      <c r="L146" s="72">
        <v>4</v>
      </c>
      <c r="M146" s="72">
        <v>2</v>
      </c>
      <c r="N146" s="72">
        <v>4</v>
      </c>
      <c r="O146" s="72"/>
      <c r="P146" s="72"/>
      <c r="Q146" s="71"/>
      <c r="R146" s="71"/>
      <c r="S146" s="72"/>
      <c r="T146" s="72"/>
      <c r="U146" s="72"/>
      <c r="V146" s="72"/>
      <c r="W146" s="72"/>
      <c r="X146" s="72"/>
      <c r="Y146" s="72"/>
      <c r="Z146" s="72"/>
      <c r="AA146" s="72"/>
      <c r="AB146" s="72"/>
      <c r="AC146" s="72"/>
      <c r="AD146" s="72"/>
      <c r="AE146" s="76"/>
      <c r="AM146" s="12"/>
      <c r="AN146" s="96"/>
      <c r="AO146" s="149"/>
      <c r="AP146" s="149"/>
      <c r="AQ146" s="11"/>
      <c r="AR146" s="11"/>
    </row>
    <row r="147" spans="1:44" s="4" customFormat="1" ht="19.5" thickBot="1">
      <c r="A147" s="88"/>
      <c r="B147" s="89"/>
      <c r="C147" s="79"/>
      <c r="D147" s="80"/>
      <c r="E147" s="80"/>
      <c r="F147" s="81">
        <f t="shared" ref="F147" si="119">SUM(G147:AD147)</f>
        <v>0</v>
      </c>
      <c r="G147" s="86"/>
      <c r="H147" s="87"/>
      <c r="I147" s="86"/>
      <c r="J147" s="79"/>
      <c r="K147" s="86"/>
      <c r="L147" s="87"/>
      <c r="M147" s="87"/>
      <c r="N147" s="87"/>
      <c r="O147" s="87"/>
      <c r="P147" s="87"/>
      <c r="Q147" s="86"/>
      <c r="R147" s="86"/>
      <c r="S147" s="87"/>
      <c r="T147" s="87"/>
      <c r="U147" s="87"/>
      <c r="V147" s="87"/>
      <c r="W147" s="87"/>
      <c r="X147" s="87"/>
      <c r="Y147" s="87"/>
      <c r="Z147" s="87"/>
      <c r="AA147" s="87"/>
      <c r="AB147" s="87"/>
      <c r="AC147" s="87"/>
      <c r="AD147" s="87"/>
      <c r="AE147" s="81">
        <v>45</v>
      </c>
      <c r="AM147" s="12"/>
      <c r="AN147" s="96"/>
      <c r="AO147" s="149"/>
      <c r="AP147" s="149"/>
      <c r="AQ147" s="11"/>
      <c r="AR147" s="11"/>
    </row>
    <row r="148" spans="1:44" ht="19.5" thickBot="1">
      <c r="A148" s="144" t="s">
        <v>31</v>
      </c>
      <c r="B148" s="145"/>
      <c r="C148" s="145"/>
      <c r="D148" s="145"/>
      <c r="E148" s="145"/>
      <c r="F148" s="145"/>
      <c r="G148" s="145"/>
      <c r="H148" s="145"/>
      <c r="I148" s="145"/>
      <c r="J148" s="145"/>
      <c r="K148" s="145"/>
      <c r="L148" s="145"/>
      <c r="M148" s="145"/>
      <c r="N148" s="145"/>
      <c r="O148" s="145"/>
      <c r="P148" s="145"/>
      <c r="Q148" s="145"/>
      <c r="R148" s="145"/>
      <c r="S148" s="145"/>
      <c r="T148" s="145"/>
      <c r="U148" s="145"/>
      <c r="V148" s="145"/>
      <c r="W148" s="145"/>
      <c r="X148" s="145"/>
      <c r="Y148" s="145"/>
      <c r="Z148" s="145"/>
      <c r="AA148" s="145"/>
      <c r="AB148" s="145"/>
      <c r="AC148" s="145"/>
      <c r="AD148" s="145"/>
      <c r="AE148" s="146"/>
    </row>
    <row r="149" spans="1:44" s="4" customFormat="1" ht="19.5">
      <c r="A149" s="82">
        <v>33</v>
      </c>
      <c r="B149" s="83" t="s">
        <v>36</v>
      </c>
      <c r="C149" s="64">
        <f t="shared" ref="C149" si="120">SUM(D149:F151)</f>
        <v>40</v>
      </c>
      <c r="D149" s="65">
        <f t="shared" ref="D149" si="121">SUM(G149:AD149)</f>
        <v>16</v>
      </c>
      <c r="E149" s="65"/>
      <c r="F149" s="66"/>
      <c r="G149" s="67">
        <v>2</v>
      </c>
      <c r="H149" s="67">
        <v>2</v>
      </c>
      <c r="I149" s="67">
        <v>2</v>
      </c>
      <c r="J149" s="67">
        <v>2</v>
      </c>
      <c r="K149" s="67">
        <v>2</v>
      </c>
      <c r="L149" s="67">
        <v>2</v>
      </c>
      <c r="M149" s="67">
        <v>2</v>
      </c>
      <c r="N149" s="67">
        <v>2</v>
      </c>
      <c r="O149" s="65"/>
      <c r="P149" s="65"/>
      <c r="Q149" s="64"/>
      <c r="R149" s="64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6" t="s">
        <v>23</v>
      </c>
      <c r="AM149" s="11"/>
      <c r="AN149" s="11"/>
      <c r="AO149" s="11"/>
      <c r="AP149" s="11"/>
      <c r="AQ149" s="11"/>
      <c r="AR149" s="11"/>
    </row>
    <row r="150" spans="1:44" s="4" customFormat="1">
      <c r="A150" s="84"/>
      <c r="B150" s="85"/>
      <c r="C150" s="71"/>
      <c r="D150" s="72"/>
      <c r="E150" s="72">
        <f t="shared" ref="E150" si="122">SUM(G150:AD150)</f>
        <v>24</v>
      </c>
      <c r="F150" s="73"/>
      <c r="G150" s="71">
        <v>2</v>
      </c>
      <c r="H150" s="71">
        <v>4</v>
      </c>
      <c r="I150" s="71">
        <v>2</v>
      </c>
      <c r="J150" s="71">
        <v>4</v>
      </c>
      <c r="K150" s="71">
        <v>2</v>
      </c>
      <c r="L150" s="71">
        <v>4</v>
      </c>
      <c r="M150" s="71">
        <v>2</v>
      </c>
      <c r="N150" s="71">
        <v>4</v>
      </c>
      <c r="O150" s="75"/>
      <c r="P150" s="75"/>
      <c r="Q150" s="71"/>
      <c r="R150" s="71"/>
      <c r="S150" s="72"/>
      <c r="T150" s="72"/>
      <c r="U150" s="72"/>
      <c r="V150" s="72"/>
      <c r="W150" s="72"/>
      <c r="X150" s="72"/>
      <c r="Y150" s="72"/>
      <c r="Z150" s="72"/>
      <c r="AA150" s="72"/>
      <c r="AB150" s="72"/>
      <c r="AC150" s="72"/>
      <c r="AD150" s="72"/>
      <c r="AE150" s="76"/>
      <c r="AM150" s="12"/>
      <c r="AN150" s="96"/>
      <c r="AO150" s="149"/>
      <c r="AP150" s="149"/>
      <c r="AQ150" s="11"/>
      <c r="AR150" s="11"/>
    </row>
    <row r="151" spans="1:44" s="4" customFormat="1" ht="19.5" thickBot="1">
      <c r="A151" s="88"/>
      <c r="B151" s="89"/>
      <c r="C151" s="79"/>
      <c r="D151" s="80"/>
      <c r="E151" s="80"/>
      <c r="F151" s="81">
        <f t="shared" ref="F151" si="123">SUM(G151:AD151)</f>
        <v>0</v>
      </c>
      <c r="G151" s="79"/>
      <c r="H151" s="80"/>
      <c r="I151" s="80"/>
      <c r="J151" s="79"/>
      <c r="K151" s="79"/>
      <c r="L151" s="80"/>
      <c r="M151" s="80"/>
      <c r="N151" s="80"/>
      <c r="O151" s="80"/>
      <c r="P151" s="80"/>
      <c r="Q151" s="79"/>
      <c r="R151" s="79"/>
      <c r="S151" s="80"/>
      <c r="T151" s="80"/>
      <c r="U151" s="80"/>
      <c r="V151" s="80"/>
      <c r="W151" s="80"/>
      <c r="X151" s="80"/>
      <c r="Y151" s="80"/>
      <c r="Z151" s="80"/>
      <c r="AA151" s="80"/>
      <c r="AB151" s="80"/>
      <c r="AC151" s="80"/>
      <c r="AD151" s="80"/>
      <c r="AE151" s="81">
        <v>27</v>
      </c>
      <c r="AM151" s="12"/>
      <c r="AN151" s="96"/>
      <c r="AO151" s="149"/>
      <c r="AP151" s="149"/>
      <c r="AQ151" s="11"/>
      <c r="AR151" s="11"/>
    </row>
    <row r="152" spans="1:44" ht="19.5" thickBot="1">
      <c r="A152" s="144" t="s">
        <v>74</v>
      </c>
      <c r="B152" s="145"/>
      <c r="C152" s="145"/>
      <c r="D152" s="145"/>
      <c r="E152" s="145"/>
      <c r="F152" s="145"/>
      <c r="G152" s="145"/>
      <c r="H152" s="145"/>
      <c r="I152" s="145"/>
      <c r="J152" s="145"/>
      <c r="K152" s="145"/>
      <c r="L152" s="145"/>
      <c r="M152" s="145"/>
      <c r="N152" s="145"/>
      <c r="O152" s="145"/>
      <c r="P152" s="145"/>
      <c r="Q152" s="145"/>
      <c r="R152" s="145"/>
      <c r="S152" s="145"/>
      <c r="T152" s="145"/>
      <c r="U152" s="145"/>
      <c r="V152" s="145"/>
      <c r="W152" s="145"/>
      <c r="X152" s="145"/>
      <c r="Y152" s="145"/>
      <c r="Z152" s="145"/>
      <c r="AA152" s="145"/>
      <c r="AB152" s="145"/>
      <c r="AC152" s="145"/>
      <c r="AD152" s="145"/>
      <c r="AE152" s="146"/>
    </row>
    <row r="153" spans="1:44" s="4" customFormat="1" ht="19.5">
      <c r="A153" s="62">
        <v>33</v>
      </c>
      <c r="B153" s="63" t="s">
        <v>68</v>
      </c>
      <c r="C153" s="64">
        <f>SUM(D153:F155)</f>
        <v>72</v>
      </c>
      <c r="D153" s="65">
        <f>SUM(G153:AD153)</f>
        <v>24</v>
      </c>
      <c r="E153" s="65"/>
      <c r="F153" s="66"/>
      <c r="G153" s="67">
        <v>2</v>
      </c>
      <c r="H153" s="67">
        <v>2</v>
      </c>
      <c r="I153" s="67">
        <v>2</v>
      </c>
      <c r="J153" s="67">
        <v>2</v>
      </c>
      <c r="K153" s="67">
        <v>2</v>
      </c>
      <c r="L153" s="67">
        <v>2</v>
      </c>
      <c r="M153" s="67">
        <v>2</v>
      </c>
      <c r="N153" s="67">
        <v>2</v>
      </c>
      <c r="O153" s="67">
        <v>2</v>
      </c>
      <c r="P153" s="67">
        <v>2</v>
      </c>
      <c r="Q153" s="67">
        <v>2</v>
      </c>
      <c r="R153" s="67">
        <v>2</v>
      </c>
      <c r="S153" s="65"/>
      <c r="T153" s="65"/>
      <c r="U153" s="65"/>
      <c r="V153" s="65"/>
      <c r="W153" s="65"/>
      <c r="X153" s="66"/>
      <c r="Y153" s="64"/>
      <c r="Z153" s="65"/>
      <c r="AA153" s="65"/>
      <c r="AB153" s="65"/>
      <c r="AC153" s="65"/>
      <c r="AD153" s="65"/>
      <c r="AE153" s="66" t="s">
        <v>26</v>
      </c>
    </row>
    <row r="154" spans="1:44" s="4" customFormat="1" ht="19.5">
      <c r="A154" s="69"/>
      <c r="B154" s="70"/>
      <c r="C154" s="71"/>
      <c r="D154" s="72"/>
      <c r="E154" s="72">
        <f>SUM(G154:AD154)</f>
        <v>48</v>
      </c>
      <c r="F154" s="73"/>
      <c r="G154" s="71">
        <v>4</v>
      </c>
      <c r="H154" s="71">
        <v>4</v>
      </c>
      <c r="I154" s="71">
        <v>4</v>
      </c>
      <c r="J154" s="71">
        <v>4</v>
      </c>
      <c r="K154" s="71">
        <v>4</v>
      </c>
      <c r="L154" s="71">
        <v>4</v>
      </c>
      <c r="M154" s="71">
        <v>4</v>
      </c>
      <c r="N154" s="71">
        <v>4</v>
      </c>
      <c r="O154" s="71">
        <v>4</v>
      </c>
      <c r="P154" s="71">
        <v>4</v>
      </c>
      <c r="Q154" s="71">
        <v>4</v>
      </c>
      <c r="R154" s="71">
        <v>4</v>
      </c>
      <c r="S154" s="71"/>
      <c r="T154" s="71"/>
      <c r="U154" s="71"/>
      <c r="V154" s="71"/>
      <c r="W154" s="71"/>
      <c r="X154" s="90"/>
      <c r="Y154" s="91"/>
      <c r="Z154" s="72"/>
      <c r="AA154" s="72"/>
      <c r="AB154" s="72"/>
      <c r="AC154" s="72"/>
      <c r="AD154" s="72"/>
      <c r="AE154" s="76" t="s">
        <v>25</v>
      </c>
    </row>
    <row r="155" spans="1:44" s="4" customFormat="1" ht="21.75" customHeight="1" thickBot="1">
      <c r="A155" s="77"/>
      <c r="B155" s="78"/>
      <c r="C155" s="79"/>
      <c r="D155" s="80"/>
      <c r="E155" s="80"/>
      <c r="F155" s="81"/>
      <c r="G155" s="79"/>
      <c r="H155" s="80"/>
      <c r="I155" s="80"/>
      <c r="J155" s="79"/>
      <c r="K155" s="79"/>
      <c r="L155" s="80"/>
      <c r="M155" s="80"/>
      <c r="N155" s="80"/>
      <c r="O155" s="80"/>
      <c r="P155" s="80"/>
      <c r="Q155" s="79"/>
      <c r="R155" s="79"/>
      <c r="S155" s="80"/>
      <c r="T155" s="80"/>
      <c r="U155" s="80"/>
      <c r="V155" s="80"/>
      <c r="W155" s="80"/>
      <c r="X155" s="92"/>
      <c r="Y155" s="79"/>
      <c r="Z155" s="80"/>
      <c r="AA155" s="80"/>
      <c r="AB155" s="80"/>
      <c r="AC155" s="80"/>
      <c r="AD155" s="80"/>
      <c r="AE155" s="81">
        <v>9</v>
      </c>
      <c r="AM155" s="11"/>
      <c r="AN155" s="11"/>
      <c r="AO155" s="11"/>
      <c r="AP155" s="11"/>
      <c r="AQ155" s="11"/>
      <c r="AR155" s="11"/>
    </row>
    <row r="156" spans="1:44" s="4" customFormat="1" ht="19.5">
      <c r="A156" s="82">
        <v>33</v>
      </c>
      <c r="B156" s="83" t="s">
        <v>69</v>
      </c>
      <c r="C156" s="64">
        <f>SUM(D156:F158)</f>
        <v>48</v>
      </c>
      <c r="D156" s="65">
        <f>SUM(G156:AD156)</f>
        <v>24</v>
      </c>
      <c r="E156" s="65"/>
      <c r="F156" s="66"/>
      <c r="G156" s="67">
        <v>2</v>
      </c>
      <c r="H156" s="67">
        <v>2</v>
      </c>
      <c r="I156" s="67">
        <v>2</v>
      </c>
      <c r="J156" s="67">
        <v>2</v>
      </c>
      <c r="K156" s="67">
        <v>2</v>
      </c>
      <c r="L156" s="67">
        <v>2</v>
      </c>
      <c r="M156" s="67">
        <v>2</v>
      </c>
      <c r="N156" s="67">
        <v>2</v>
      </c>
      <c r="O156" s="67">
        <v>2</v>
      </c>
      <c r="P156" s="67">
        <v>2</v>
      </c>
      <c r="Q156" s="67">
        <v>2</v>
      </c>
      <c r="R156" s="67">
        <v>2</v>
      </c>
      <c r="S156" s="65"/>
      <c r="T156" s="65"/>
      <c r="U156" s="65"/>
      <c r="V156" s="65"/>
      <c r="W156" s="65"/>
      <c r="X156" s="66"/>
      <c r="Y156" s="64"/>
      <c r="Z156" s="65"/>
      <c r="AA156" s="65"/>
      <c r="AB156" s="65"/>
      <c r="AC156" s="65"/>
      <c r="AD156" s="65"/>
      <c r="AE156" s="66" t="s">
        <v>19</v>
      </c>
      <c r="AM156" s="11"/>
      <c r="AN156" s="11"/>
      <c r="AO156" s="11"/>
      <c r="AP156" s="11"/>
      <c r="AQ156" s="11"/>
      <c r="AR156" s="11"/>
    </row>
    <row r="157" spans="1:44" s="4" customFormat="1">
      <c r="A157" s="84"/>
      <c r="B157" s="85"/>
      <c r="C157" s="71"/>
      <c r="D157" s="72"/>
      <c r="E157" s="72">
        <f>SUM(G157:AD157)</f>
        <v>24</v>
      </c>
      <c r="F157" s="73"/>
      <c r="G157" s="71">
        <v>2</v>
      </c>
      <c r="H157" s="71">
        <v>2</v>
      </c>
      <c r="I157" s="71">
        <v>2</v>
      </c>
      <c r="J157" s="71">
        <v>2</v>
      </c>
      <c r="K157" s="71">
        <v>2</v>
      </c>
      <c r="L157" s="71">
        <v>2</v>
      </c>
      <c r="M157" s="71">
        <v>2</v>
      </c>
      <c r="N157" s="71">
        <v>2</v>
      </c>
      <c r="O157" s="71">
        <v>2</v>
      </c>
      <c r="P157" s="71">
        <v>2</v>
      </c>
      <c r="Q157" s="71">
        <v>2</v>
      </c>
      <c r="R157" s="71">
        <v>2</v>
      </c>
      <c r="S157" s="71"/>
      <c r="T157" s="71"/>
      <c r="U157" s="71"/>
      <c r="V157" s="71"/>
      <c r="W157" s="71"/>
      <c r="X157" s="90"/>
      <c r="Y157" s="91"/>
      <c r="Z157" s="72"/>
      <c r="AA157" s="72"/>
      <c r="AB157" s="72"/>
      <c r="AC157" s="72"/>
      <c r="AD157" s="72"/>
      <c r="AE157" s="76"/>
      <c r="AM157" s="12"/>
      <c r="AN157" s="96"/>
      <c r="AO157" s="149"/>
      <c r="AP157" s="149"/>
      <c r="AQ157" s="11"/>
      <c r="AR157" s="11"/>
    </row>
    <row r="158" spans="1:44" s="4" customFormat="1" ht="19.5" thickBot="1">
      <c r="A158" s="84"/>
      <c r="B158" s="85"/>
      <c r="C158" s="79"/>
      <c r="D158" s="80"/>
      <c r="E158" s="80"/>
      <c r="F158" s="81"/>
      <c r="G158" s="86"/>
      <c r="H158" s="87"/>
      <c r="I158" s="86"/>
      <c r="J158" s="79"/>
      <c r="K158" s="86"/>
      <c r="L158" s="72"/>
      <c r="M158" s="72"/>
      <c r="N158" s="72"/>
      <c r="O158" s="72"/>
      <c r="P158" s="72"/>
      <c r="Q158" s="71"/>
      <c r="R158" s="71"/>
      <c r="S158" s="72"/>
      <c r="T158" s="72"/>
      <c r="U158" s="72"/>
      <c r="V158" s="72"/>
      <c r="W158" s="72"/>
      <c r="X158" s="73"/>
      <c r="Y158" s="71"/>
      <c r="Z158" s="72"/>
      <c r="AA158" s="72"/>
      <c r="AB158" s="72"/>
      <c r="AC158" s="72"/>
      <c r="AD158" s="72"/>
      <c r="AE158" s="81">
        <v>36</v>
      </c>
      <c r="AM158" s="12"/>
      <c r="AN158" s="96"/>
      <c r="AO158" s="149"/>
      <c r="AP158" s="149"/>
      <c r="AQ158" s="11"/>
      <c r="AR158" s="11"/>
    </row>
    <row r="159" spans="1:44" s="4" customFormat="1" ht="19.5">
      <c r="A159" s="62">
        <v>33</v>
      </c>
      <c r="B159" s="63" t="s">
        <v>70</v>
      </c>
      <c r="C159" s="64">
        <f>SUM(D159:F161)</f>
        <v>72</v>
      </c>
      <c r="D159" s="65">
        <f>SUM(G159:AD159)</f>
        <v>24</v>
      </c>
      <c r="E159" s="65"/>
      <c r="F159" s="66"/>
      <c r="G159" s="67">
        <v>2</v>
      </c>
      <c r="H159" s="67">
        <v>2</v>
      </c>
      <c r="I159" s="67">
        <v>2</v>
      </c>
      <c r="J159" s="67">
        <v>2</v>
      </c>
      <c r="K159" s="65">
        <v>2</v>
      </c>
      <c r="L159" s="64">
        <v>2</v>
      </c>
      <c r="M159" s="64">
        <v>2</v>
      </c>
      <c r="N159" s="64">
        <v>2</v>
      </c>
      <c r="O159" s="64">
        <v>2</v>
      </c>
      <c r="P159" s="64">
        <v>2</v>
      </c>
      <c r="Q159" s="64">
        <v>2</v>
      </c>
      <c r="R159" s="64">
        <v>2</v>
      </c>
      <c r="S159" s="65"/>
      <c r="T159" s="65"/>
      <c r="U159" s="65"/>
      <c r="V159" s="65"/>
      <c r="W159" s="65"/>
      <c r="X159" s="66"/>
      <c r="Y159" s="64"/>
      <c r="Z159" s="65"/>
      <c r="AA159" s="65"/>
      <c r="AB159" s="65"/>
      <c r="AC159" s="65"/>
      <c r="AD159" s="65"/>
      <c r="AE159" s="66" t="s">
        <v>19</v>
      </c>
    </row>
    <row r="160" spans="1:44" s="4" customFormat="1" ht="19.5">
      <c r="A160" s="69"/>
      <c r="B160" s="70"/>
      <c r="C160" s="71"/>
      <c r="D160" s="72"/>
      <c r="E160" s="72">
        <f>SUM(G160:AD160)</f>
        <v>48</v>
      </c>
      <c r="F160" s="73"/>
      <c r="G160" s="71">
        <v>4</v>
      </c>
      <c r="H160" s="71">
        <v>4</v>
      </c>
      <c r="I160" s="71">
        <v>4</v>
      </c>
      <c r="J160" s="71">
        <v>4</v>
      </c>
      <c r="K160" s="71">
        <v>4</v>
      </c>
      <c r="L160" s="71">
        <v>4</v>
      </c>
      <c r="M160" s="71">
        <v>4</v>
      </c>
      <c r="N160" s="71">
        <v>4</v>
      </c>
      <c r="O160" s="71">
        <v>4</v>
      </c>
      <c r="P160" s="71">
        <v>4</v>
      </c>
      <c r="Q160" s="71">
        <v>4</v>
      </c>
      <c r="R160" s="71">
        <v>4</v>
      </c>
      <c r="S160" s="75"/>
      <c r="T160" s="75"/>
      <c r="U160" s="75"/>
      <c r="V160" s="75"/>
      <c r="W160" s="75"/>
      <c r="X160" s="73"/>
      <c r="Y160" s="71"/>
      <c r="Z160" s="72"/>
      <c r="AA160" s="72"/>
      <c r="AB160" s="72"/>
      <c r="AC160" s="72"/>
      <c r="AD160" s="72"/>
      <c r="AE160" s="112"/>
    </row>
    <row r="161" spans="1:44" s="4" customFormat="1" ht="21.75" customHeight="1" thickBot="1">
      <c r="A161" s="77"/>
      <c r="B161" s="78"/>
      <c r="C161" s="79"/>
      <c r="D161" s="80"/>
      <c r="E161" s="80"/>
      <c r="F161" s="81"/>
      <c r="G161" s="79"/>
      <c r="H161" s="80"/>
      <c r="I161" s="80"/>
      <c r="J161" s="80"/>
      <c r="K161" s="79"/>
      <c r="L161" s="80"/>
      <c r="M161" s="80"/>
      <c r="N161" s="80"/>
      <c r="O161" s="80"/>
      <c r="P161" s="80"/>
      <c r="Q161" s="79"/>
      <c r="R161" s="79"/>
      <c r="S161" s="80"/>
      <c r="T161" s="80"/>
      <c r="U161" s="80"/>
      <c r="V161" s="80"/>
      <c r="W161" s="80"/>
      <c r="X161" s="81"/>
      <c r="Y161" s="79"/>
      <c r="Z161" s="80"/>
      <c r="AA161" s="80"/>
      <c r="AB161" s="80"/>
      <c r="AC161" s="80"/>
      <c r="AD161" s="80"/>
      <c r="AE161" s="108">
        <v>36</v>
      </c>
      <c r="AM161" s="11"/>
      <c r="AN161" s="11"/>
      <c r="AO161" s="11"/>
      <c r="AP161" s="11"/>
      <c r="AQ161" s="11"/>
      <c r="AR161" s="11"/>
    </row>
    <row r="162" spans="1:44" s="4" customFormat="1" ht="19.5">
      <c r="A162" s="82">
        <v>33</v>
      </c>
      <c r="B162" s="83" t="s">
        <v>71</v>
      </c>
      <c r="C162" s="64">
        <f>SUM(D162:F164)</f>
        <v>48</v>
      </c>
      <c r="D162" s="65">
        <f>SUM(G162:AD162)</f>
        <v>24</v>
      </c>
      <c r="E162" s="65"/>
      <c r="F162" s="66"/>
      <c r="G162" s="67">
        <v>2</v>
      </c>
      <c r="H162" s="67">
        <v>2</v>
      </c>
      <c r="I162" s="67">
        <v>2</v>
      </c>
      <c r="J162" s="67">
        <v>2</v>
      </c>
      <c r="K162" s="67">
        <v>2</v>
      </c>
      <c r="L162" s="67">
        <v>2</v>
      </c>
      <c r="M162" s="67">
        <v>2</v>
      </c>
      <c r="N162" s="67">
        <v>2</v>
      </c>
      <c r="O162" s="67">
        <v>2</v>
      </c>
      <c r="P162" s="67">
        <v>2</v>
      </c>
      <c r="Q162" s="67">
        <v>2</v>
      </c>
      <c r="R162" s="67">
        <v>2</v>
      </c>
      <c r="S162" s="65"/>
      <c r="T162" s="65"/>
      <c r="U162" s="65"/>
      <c r="V162" s="65"/>
      <c r="W162" s="65"/>
      <c r="X162" s="66"/>
      <c r="Y162" s="64"/>
      <c r="Z162" s="65"/>
      <c r="AA162" s="65"/>
      <c r="AB162" s="65"/>
      <c r="AC162" s="65"/>
      <c r="AD162" s="65"/>
      <c r="AE162" s="107" t="s">
        <v>26</v>
      </c>
      <c r="AM162" s="11"/>
      <c r="AN162" s="11"/>
      <c r="AO162" s="11"/>
      <c r="AP162" s="11"/>
      <c r="AQ162" s="11"/>
      <c r="AR162" s="11"/>
    </row>
    <row r="163" spans="1:44" s="4" customFormat="1">
      <c r="A163" s="84"/>
      <c r="B163" s="85"/>
      <c r="C163" s="71"/>
      <c r="D163" s="72"/>
      <c r="E163" s="72">
        <f>SUM(G163:AD163)</f>
        <v>24</v>
      </c>
      <c r="F163" s="73"/>
      <c r="G163" s="71">
        <v>2</v>
      </c>
      <c r="H163" s="71">
        <v>2</v>
      </c>
      <c r="I163" s="71">
        <v>2</v>
      </c>
      <c r="J163" s="71">
        <v>2</v>
      </c>
      <c r="K163" s="71">
        <v>2</v>
      </c>
      <c r="L163" s="71">
        <v>2</v>
      </c>
      <c r="M163" s="71">
        <v>2</v>
      </c>
      <c r="N163" s="71">
        <v>2</v>
      </c>
      <c r="O163" s="71">
        <v>2</v>
      </c>
      <c r="P163" s="71">
        <v>2</v>
      </c>
      <c r="Q163" s="71">
        <v>2</v>
      </c>
      <c r="R163" s="71">
        <v>2</v>
      </c>
      <c r="S163" s="72"/>
      <c r="T163" s="72"/>
      <c r="U163" s="72"/>
      <c r="V163" s="72"/>
      <c r="W163" s="72"/>
      <c r="X163" s="73"/>
      <c r="Y163" s="71"/>
      <c r="Z163" s="72"/>
      <c r="AA163" s="72"/>
      <c r="AB163" s="72"/>
      <c r="AC163" s="72"/>
      <c r="AD163" s="72"/>
      <c r="AE163" s="112"/>
      <c r="AM163" s="12"/>
      <c r="AN163" s="96"/>
      <c r="AO163" s="149"/>
      <c r="AP163" s="149"/>
      <c r="AQ163" s="11"/>
      <c r="AR163" s="11"/>
    </row>
    <row r="164" spans="1:44" s="4" customFormat="1" ht="19.5" thickBot="1">
      <c r="A164" s="88"/>
      <c r="B164" s="89"/>
      <c r="C164" s="79"/>
      <c r="D164" s="80"/>
      <c r="E164" s="80"/>
      <c r="F164" s="81"/>
      <c r="G164" s="79"/>
      <c r="H164" s="80"/>
      <c r="I164" s="80"/>
      <c r="J164" s="79"/>
      <c r="K164" s="86"/>
      <c r="L164" s="87"/>
      <c r="M164" s="87"/>
      <c r="N164" s="87"/>
      <c r="O164" s="87"/>
      <c r="P164" s="87"/>
      <c r="Q164" s="86"/>
      <c r="R164" s="86"/>
      <c r="S164" s="87"/>
      <c r="T164" s="87"/>
      <c r="U164" s="87"/>
      <c r="V164" s="87"/>
      <c r="W164" s="87"/>
      <c r="X164" s="92"/>
      <c r="Y164" s="86"/>
      <c r="Z164" s="87"/>
      <c r="AA164" s="87"/>
      <c r="AB164" s="87"/>
      <c r="AC164" s="87"/>
      <c r="AD164" s="87"/>
      <c r="AE164" s="108">
        <v>9</v>
      </c>
      <c r="AM164" s="12"/>
      <c r="AN164" s="96"/>
      <c r="AO164" s="149"/>
      <c r="AP164" s="149"/>
      <c r="AQ164" s="11"/>
      <c r="AR164" s="11"/>
    </row>
    <row r="165" spans="1:44" s="4" customFormat="1" ht="19.5">
      <c r="A165" s="82">
        <v>33</v>
      </c>
      <c r="B165" s="83" t="s">
        <v>72</v>
      </c>
      <c r="C165" s="64">
        <f>SUM(D165:F167)</f>
        <v>72</v>
      </c>
      <c r="D165" s="65">
        <f>SUM(G165:AD165)</f>
        <v>36</v>
      </c>
      <c r="E165" s="65"/>
      <c r="F165" s="66"/>
      <c r="G165" s="64">
        <v>4</v>
      </c>
      <c r="H165" s="65">
        <v>2</v>
      </c>
      <c r="I165" s="65">
        <v>4</v>
      </c>
      <c r="J165" s="64">
        <v>2</v>
      </c>
      <c r="K165" s="64">
        <v>4</v>
      </c>
      <c r="L165" s="65">
        <v>2</v>
      </c>
      <c r="M165" s="65">
        <v>4</v>
      </c>
      <c r="N165" s="65">
        <v>2</v>
      </c>
      <c r="O165" s="65">
        <v>4</v>
      </c>
      <c r="P165" s="65">
        <v>2</v>
      </c>
      <c r="Q165" s="64">
        <v>4</v>
      </c>
      <c r="R165" s="64">
        <v>2</v>
      </c>
      <c r="S165" s="65"/>
      <c r="T165" s="65"/>
      <c r="U165" s="65"/>
      <c r="V165" s="65"/>
      <c r="W165" s="65"/>
      <c r="X165" s="66"/>
      <c r="Y165" s="64"/>
      <c r="Z165" s="65"/>
      <c r="AA165" s="65"/>
      <c r="AB165" s="65"/>
      <c r="AC165" s="65"/>
      <c r="AD165" s="65"/>
      <c r="AE165" s="107" t="s">
        <v>26</v>
      </c>
      <c r="AM165" s="11"/>
      <c r="AN165" s="11"/>
      <c r="AO165" s="11"/>
      <c r="AP165" s="11"/>
      <c r="AQ165" s="11"/>
      <c r="AR165" s="11"/>
    </row>
    <row r="166" spans="1:44" s="4" customFormat="1">
      <c r="A166" s="84"/>
      <c r="B166" s="85"/>
      <c r="C166" s="71"/>
      <c r="D166" s="72"/>
      <c r="E166" s="72">
        <f>SUM(G166:AD166)</f>
        <v>36</v>
      </c>
      <c r="F166" s="73"/>
      <c r="G166" s="71">
        <v>2</v>
      </c>
      <c r="H166" s="72">
        <v>4</v>
      </c>
      <c r="I166" s="72">
        <v>2</v>
      </c>
      <c r="J166" s="71">
        <v>4</v>
      </c>
      <c r="K166" s="74">
        <v>2</v>
      </c>
      <c r="L166" s="75">
        <v>4</v>
      </c>
      <c r="M166" s="75">
        <v>2</v>
      </c>
      <c r="N166" s="75">
        <v>4</v>
      </c>
      <c r="O166" s="75">
        <v>2</v>
      </c>
      <c r="P166" s="75">
        <v>4</v>
      </c>
      <c r="Q166" s="71">
        <v>2</v>
      </c>
      <c r="R166" s="71">
        <v>4</v>
      </c>
      <c r="S166" s="72"/>
      <c r="T166" s="72"/>
      <c r="U166" s="72"/>
      <c r="V166" s="72"/>
      <c r="W166" s="72"/>
      <c r="X166" s="73"/>
      <c r="Y166" s="71"/>
      <c r="Z166" s="72"/>
      <c r="AA166" s="72"/>
      <c r="AB166" s="72"/>
      <c r="AC166" s="72"/>
      <c r="AD166" s="72"/>
      <c r="AE166" s="112"/>
      <c r="AM166" s="12"/>
      <c r="AN166" s="96"/>
      <c r="AO166" s="149"/>
      <c r="AP166" s="149"/>
      <c r="AQ166" s="11"/>
      <c r="AR166" s="11"/>
    </row>
    <row r="167" spans="1:44" s="4" customFormat="1" ht="19.5" thickBot="1">
      <c r="A167" s="88"/>
      <c r="B167" s="89"/>
      <c r="C167" s="79"/>
      <c r="D167" s="80"/>
      <c r="E167" s="80"/>
      <c r="F167" s="81">
        <f>SUM(G167:X167)</f>
        <v>0</v>
      </c>
      <c r="G167" s="113"/>
      <c r="H167" s="87"/>
      <c r="I167" s="87"/>
      <c r="J167" s="86"/>
      <c r="K167" s="86"/>
      <c r="L167" s="87"/>
      <c r="M167" s="87"/>
      <c r="N167" s="87"/>
      <c r="O167" s="87"/>
      <c r="P167" s="87"/>
      <c r="Q167" s="86"/>
      <c r="R167" s="86"/>
      <c r="S167" s="87"/>
      <c r="T167" s="87"/>
      <c r="U167" s="87"/>
      <c r="V167" s="87"/>
      <c r="W167" s="87"/>
      <c r="X167" s="92"/>
      <c r="Y167" s="86"/>
      <c r="Z167" s="87"/>
      <c r="AA167" s="87"/>
      <c r="AB167" s="87"/>
      <c r="AC167" s="87"/>
      <c r="AD167" s="87"/>
      <c r="AE167" s="108">
        <v>9</v>
      </c>
      <c r="AM167" s="12"/>
      <c r="AN167" s="96"/>
      <c r="AO167" s="149"/>
      <c r="AP167" s="149"/>
      <c r="AQ167" s="11"/>
      <c r="AR167" s="11"/>
    </row>
    <row r="168" spans="1:44" s="4" customFormat="1" ht="37.5">
      <c r="A168" s="82">
        <v>33</v>
      </c>
      <c r="B168" s="83" t="s">
        <v>73</v>
      </c>
      <c r="C168" s="64">
        <f>SUM(D168:F170)</f>
        <v>48</v>
      </c>
      <c r="D168" s="65">
        <f>SUM(G168:AD168)</f>
        <v>24</v>
      </c>
      <c r="E168" s="65"/>
      <c r="F168" s="66"/>
      <c r="G168" s="67">
        <v>2</v>
      </c>
      <c r="H168" s="67">
        <v>2</v>
      </c>
      <c r="I168" s="67">
        <v>2</v>
      </c>
      <c r="J168" s="67">
        <v>2</v>
      </c>
      <c r="K168" s="67">
        <v>2</v>
      </c>
      <c r="L168" s="67">
        <v>2</v>
      </c>
      <c r="M168" s="67">
        <v>2</v>
      </c>
      <c r="N168" s="67">
        <v>2</v>
      </c>
      <c r="O168" s="67">
        <v>2</v>
      </c>
      <c r="P168" s="67">
        <v>2</v>
      </c>
      <c r="Q168" s="67">
        <v>2</v>
      </c>
      <c r="R168" s="67">
        <v>2</v>
      </c>
      <c r="S168" s="74"/>
      <c r="T168" s="74"/>
      <c r="U168" s="74"/>
      <c r="V168" s="74"/>
      <c r="W168" s="74"/>
      <c r="X168" s="66"/>
      <c r="Y168" s="64"/>
      <c r="Z168" s="65"/>
      <c r="AA168" s="65"/>
      <c r="AB168" s="65"/>
      <c r="AC168" s="65"/>
      <c r="AD168" s="65"/>
      <c r="AE168" s="66" t="s">
        <v>26</v>
      </c>
      <c r="AM168" s="11"/>
      <c r="AN168" s="11"/>
      <c r="AO168" s="11"/>
      <c r="AP168" s="11"/>
      <c r="AQ168" s="11"/>
      <c r="AR168" s="11"/>
    </row>
    <row r="169" spans="1:44" s="4" customFormat="1">
      <c r="A169" s="84"/>
      <c r="B169" s="85"/>
      <c r="C169" s="71"/>
      <c r="D169" s="72"/>
      <c r="E169" s="72">
        <f>SUM(G169:AD169)</f>
        <v>24</v>
      </c>
      <c r="F169" s="73"/>
      <c r="G169" s="71">
        <v>2</v>
      </c>
      <c r="H169" s="71">
        <v>2</v>
      </c>
      <c r="I169" s="71">
        <v>2</v>
      </c>
      <c r="J169" s="71">
        <v>2</v>
      </c>
      <c r="K169" s="71">
        <v>2</v>
      </c>
      <c r="L169" s="71">
        <v>2</v>
      </c>
      <c r="M169" s="71">
        <v>2</v>
      </c>
      <c r="N169" s="71">
        <v>2</v>
      </c>
      <c r="O169" s="71">
        <v>2</v>
      </c>
      <c r="P169" s="71">
        <v>2</v>
      </c>
      <c r="Q169" s="71">
        <v>2</v>
      </c>
      <c r="R169" s="71">
        <v>2</v>
      </c>
      <c r="S169" s="111"/>
      <c r="T169" s="111"/>
      <c r="U169" s="111"/>
      <c r="V169" s="111"/>
      <c r="W169" s="75"/>
      <c r="X169" s="73"/>
      <c r="Y169" s="71"/>
      <c r="Z169" s="72"/>
      <c r="AA169" s="72"/>
      <c r="AB169" s="72"/>
      <c r="AC169" s="72"/>
      <c r="AD169" s="72"/>
      <c r="AE169" s="76"/>
      <c r="AM169" s="12"/>
      <c r="AN169" s="96"/>
      <c r="AO169" s="149"/>
      <c r="AP169" s="149"/>
      <c r="AQ169" s="11"/>
      <c r="AR169" s="11"/>
    </row>
    <row r="170" spans="1:44" s="4" customFormat="1" ht="19.5" thickBot="1">
      <c r="A170" s="88"/>
      <c r="B170" s="89"/>
      <c r="C170" s="79"/>
      <c r="D170" s="80"/>
      <c r="E170" s="80"/>
      <c r="F170" s="81">
        <f>SUM(G170:X170)</f>
        <v>0</v>
      </c>
      <c r="G170" s="86"/>
      <c r="H170" s="87"/>
      <c r="I170" s="86"/>
      <c r="J170" s="79"/>
      <c r="K170" s="86"/>
      <c r="L170" s="87"/>
      <c r="M170" s="87"/>
      <c r="N170" s="87"/>
      <c r="O170" s="87"/>
      <c r="P170" s="87"/>
      <c r="Q170" s="86"/>
      <c r="R170" s="86"/>
      <c r="S170" s="87"/>
      <c r="T170" s="87"/>
      <c r="U170" s="87"/>
      <c r="V170" s="87"/>
      <c r="W170" s="87"/>
      <c r="X170" s="92"/>
      <c r="Y170" s="86"/>
      <c r="Z170" s="87"/>
      <c r="AA170" s="87"/>
      <c r="AB170" s="87"/>
      <c r="AC170" s="87"/>
      <c r="AD170" s="87"/>
      <c r="AE170" s="81">
        <v>9</v>
      </c>
      <c r="AM170" s="12"/>
      <c r="AN170" s="96"/>
      <c r="AO170" s="149"/>
      <c r="AP170" s="149"/>
      <c r="AQ170" s="11"/>
      <c r="AR170" s="11"/>
    </row>
  </sheetData>
  <mergeCells count="89">
    <mergeCell ref="AO150:AP150"/>
    <mergeCell ref="AO151:AP151"/>
    <mergeCell ref="A152:AE152"/>
    <mergeCell ref="AO157:AP157"/>
    <mergeCell ref="AO158:AP158"/>
    <mergeCell ref="AO170:AP170"/>
    <mergeCell ref="AO163:AP163"/>
    <mergeCell ref="AO164:AP164"/>
    <mergeCell ref="AO166:AP166"/>
    <mergeCell ref="AO167:AP167"/>
    <mergeCell ref="AO169:AP169"/>
    <mergeCell ref="A127:AE127"/>
    <mergeCell ref="A144:AE144"/>
    <mergeCell ref="AO146:AP146"/>
    <mergeCell ref="AO147:AP147"/>
    <mergeCell ref="A148:AE148"/>
    <mergeCell ref="AO131:AP131"/>
    <mergeCell ref="A132:AE132"/>
    <mergeCell ref="AO134:AP134"/>
    <mergeCell ref="AO135:AP135"/>
    <mergeCell ref="I133:L135"/>
    <mergeCell ref="A136:AE136"/>
    <mergeCell ref="AO138:AP138"/>
    <mergeCell ref="AO139:AP139"/>
    <mergeCell ref="K137:N139"/>
    <mergeCell ref="A140:AE140"/>
    <mergeCell ref="AO114:AP114"/>
    <mergeCell ref="AO116:AP116"/>
    <mergeCell ref="AO117:AP117"/>
    <mergeCell ref="AO119:AP119"/>
    <mergeCell ref="AO120:AP120"/>
    <mergeCell ref="A97:AE97"/>
    <mergeCell ref="A101:AE101"/>
    <mergeCell ref="AO107:AP107"/>
    <mergeCell ref="AO108:AP108"/>
    <mergeCell ref="AO113:AP113"/>
    <mergeCell ref="A105:AE105"/>
    <mergeCell ref="AO33:AP33"/>
    <mergeCell ref="AO34:AP34"/>
    <mergeCell ref="AO70:AP70"/>
    <mergeCell ref="AO73:AP73"/>
    <mergeCell ref="AO72:AP72"/>
    <mergeCell ref="AO60:AP60"/>
    <mergeCell ref="AO64:AP64"/>
    <mergeCell ref="AO69:AP69"/>
    <mergeCell ref="AO62:AP62"/>
    <mergeCell ref="AO63:AP63"/>
    <mergeCell ref="A1:AD1"/>
    <mergeCell ref="A2:AD2"/>
    <mergeCell ref="H3:AK3"/>
    <mergeCell ref="C5:F6"/>
    <mergeCell ref="A5:A12"/>
    <mergeCell ref="B5:B12"/>
    <mergeCell ref="C7:C12"/>
    <mergeCell ref="I5:L5"/>
    <mergeCell ref="Z5:AC5"/>
    <mergeCell ref="D8:D12"/>
    <mergeCell ref="E8:E12"/>
    <mergeCell ref="F8:F12"/>
    <mergeCell ref="D7:F7"/>
    <mergeCell ref="U5:X5"/>
    <mergeCell ref="AE5:AE12"/>
    <mergeCell ref="A3:C3"/>
    <mergeCell ref="G5:H5"/>
    <mergeCell ref="L13:AO13"/>
    <mergeCell ref="A14:AE14"/>
    <mergeCell ref="A31:AE31"/>
    <mergeCell ref="AO31:AP31"/>
    <mergeCell ref="AO27:AP27"/>
    <mergeCell ref="A19:AE19"/>
    <mergeCell ref="A23:AE23"/>
    <mergeCell ref="A27:AE27"/>
    <mergeCell ref="A15:AE15"/>
    <mergeCell ref="A47:AE47"/>
    <mergeCell ref="A48:AE48"/>
    <mergeCell ref="A52:AE52"/>
    <mergeCell ref="A128:AE128"/>
    <mergeCell ref="AO130:AP130"/>
    <mergeCell ref="G129:J131"/>
    <mergeCell ref="R129:R131"/>
    <mergeCell ref="A56:AE56"/>
    <mergeCell ref="A60:AE60"/>
    <mergeCell ref="A64:AE64"/>
    <mergeCell ref="AO76:AP76"/>
    <mergeCell ref="AO75:AP75"/>
    <mergeCell ref="A92:AE92"/>
    <mergeCell ref="A93:AE93"/>
    <mergeCell ref="AO99:AP99"/>
    <mergeCell ref="AO100:AP100"/>
  </mergeCells>
  <conditionalFormatting sqref="A67">
    <cfRule type="expression" dxfId="35" priority="36" stopIfTrue="1">
      <formula>$DB63=1</formula>
    </cfRule>
  </conditionalFormatting>
  <conditionalFormatting sqref="A67:B67">
    <cfRule type="expression" dxfId="34" priority="34" stopIfTrue="1">
      <formula>$CV63&gt;0</formula>
    </cfRule>
    <cfRule type="expression" dxfId="33" priority="35" stopIfTrue="1">
      <formula>$CU63&gt;0</formula>
    </cfRule>
  </conditionalFormatting>
  <conditionalFormatting sqref="A67">
    <cfRule type="expression" dxfId="32" priority="33" stopIfTrue="1">
      <formula>$DB63=1</formula>
    </cfRule>
  </conditionalFormatting>
  <conditionalFormatting sqref="A67:B67">
    <cfRule type="expression" dxfId="31" priority="31" stopIfTrue="1">
      <formula>$CV63&gt;0</formula>
    </cfRule>
    <cfRule type="expression" dxfId="30" priority="32" stopIfTrue="1">
      <formula>$CU63&gt;0</formula>
    </cfRule>
  </conditionalFormatting>
  <conditionalFormatting sqref="A67">
    <cfRule type="expression" dxfId="29" priority="30" stopIfTrue="1">
      <formula>$DC63=1</formula>
    </cfRule>
  </conditionalFormatting>
  <conditionalFormatting sqref="A67:B67">
    <cfRule type="expression" dxfId="28" priority="28" stopIfTrue="1">
      <formula>$CW63&gt;0</formula>
    </cfRule>
    <cfRule type="expression" dxfId="27" priority="29" stopIfTrue="1">
      <formula>$CV63&gt;0</formula>
    </cfRule>
  </conditionalFormatting>
  <conditionalFormatting sqref="A111">
    <cfRule type="expression" dxfId="26" priority="27" stopIfTrue="1">
      <formula>$DB107=1</formula>
    </cfRule>
  </conditionalFormatting>
  <conditionalFormatting sqref="A111:B111">
    <cfRule type="expression" dxfId="25" priority="25" stopIfTrue="1">
      <formula>$CV107&gt;0</formula>
    </cfRule>
    <cfRule type="expression" dxfId="24" priority="26" stopIfTrue="1">
      <formula>$CU107&gt;0</formula>
    </cfRule>
  </conditionalFormatting>
  <conditionalFormatting sqref="A111">
    <cfRule type="expression" dxfId="23" priority="24" stopIfTrue="1">
      <formula>$DB107=1</formula>
    </cfRule>
  </conditionalFormatting>
  <conditionalFormatting sqref="A111:B111">
    <cfRule type="expression" dxfId="22" priority="22" stopIfTrue="1">
      <formula>$CV107&gt;0</formula>
    </cfRule>
    <cfRule type="expression" dxfId="21" priority="23" stopIfTrue="1">
      <formula>$CU107&gt;0</formula>
    </cfRule>
  </conditionalFormatting>
  <conditionalFormatting sqref="A111">
    <cfRule type="expression" dxfId="20" priority="21" stopIfTrue="1">
      <formula>$DC107=1</formula>
    </cfRule>
  </conditionalFormatting>
  <conditionalFormatting sqref="A111:B111">
    <cfRule type="expression" dxfId="19" priority="19" stopIfTrue="1">
      <formula>$CW107&gt;0</formula>
    </cfRule>
    <cfRule type="expression" dxfId="18" priority="20" stopIfTrue="1">
      <formula>$CV107&gt;0</formula>
    </cfRule>
  </conditionalFormatting>
  <conditionalFormatting sqref="A155">
    <cfRule type="expression" dxfId="17" priority="16" stopIfTrue="1">
      <formula>$DB151=1</formula>
    </cfRule>
  </conditionalFormatting>
  <conditionalFormatting sqref="A155:B155">
    <cfRule type="expression" dxfId="16" priority="17" stopIfTrue="1">
      <formula>$CV151&gt;0</formula>
    </cfRule>
    <cfRule type="expression" dxfId="15" priority="18" stopIfTrue="1">
      <formula>$CU151&gt;0</formula>
    </cfRule>
  </conditionalFormatting>
  <conditionalFormatting sqref="A155">
    <cfRule type="expression" dxfId="14" priority="15" stopIfTrue="1">
      <formula>$DB151=1</formula>
    </cfRule>
  </conditionalFormatting>
  <conditionalFormatting sqref="A155:B155">
    <cfRule type="expression" dxfId="13" priority="13" stopIfTrue="1">
      <formula>$CV151&gt;0</formula>
    </cfRule>
    <cfRule type="expression" dxfId="12" priority="14" stopIfTrue="1">
      <formula>$CU151&gt;0</formula>
    </cfRule>
  </conditionalFormatting>
  <conditionalFormatting sqref="A155">
    <cfRule type="expression" dxfId="11" priority="12" stopIfTrue="1">
      <formula>$DC151=1</formula>
    </cfRule>
  </conditionalFormatting>
  <conditionalFormatting sqref="A155:B155">
    <cfRule type="expression" dxfId="10" priority="10" stopIfTrue="1">
      <formula>$CW151&gt;0</formula>
    </cfRule>
    <cfRule type="expression" dxfId="9" priority="11" stopIfTrue="1">
      <formula>$CV151&gt;0</formula>
    </cfRule>
  </conditionalFormatting>
  <conditionalFormatting sqref="A161">
    <cfRule type="expression" dxfId="8" priority="9" stopIfTrue="1">
      <formula>$DB157=1</formula>
    </cfRule>
  </conditionalFormatting>
  <conditionalFormatting sqref="A161:B161">
    <cfRule type="expression" dxfId="7" priority="7" stopIfTrue="1">
      <formula>$CV157&gt;0</formula>
    </cfRule>
    <cfRule type="expression" dxfId="6" priority="8" stopIfTrue="1">
      <formula>$CU157&gt;0</formula>
    </cfRule>
  </conditionalFormatting>
  <conditionalFormatting sqref="A161">
    <cfRule type="expression" dxfId="5" priority="6" stopIfTrue="1">
      <formula>$DB157=1</formula>
    </cfRule>
  </conditionalFormatting>
  <conditionalFormatting sqref="A161:B161">
    <cfRule type="expression" dxfId="4" priority="4" stopIfTrue="1">
      <formula>$CV157&gt;0</formula>
    </cfRule>
    <cfRule type="expression" dxfId="3" priority="5" stopIfTrue="1">
      <formula>$CU157&gt;0</formula>
    </cfRule>
  </conditionalFormatting>
  <conditionalFormatting sqref="A161">
    <cfRule type="expression" dxfId="2" priority="3" stopIfTrue="1">
      <formula>$DC157=1</formula>
    </cfRule>
  </conditionalFormatting>
  <conditionalFormatting sqref="A161:B161">
    <cfRule type="expression" dxfId="1" priority="1" stopIfTrue="1">
      <formula>$CW157&gt;0</formula>
    </cfRule>
    <cfRule type="expression" dxfId="0" priority="2" stopIfTrue="1">
      <formula>$CV157&gt;0</formula>
    </cfRule>
  </conditionalFormatting>
  <pageMargins left="0.11811023622047245" right="0.11811023622047245" top="0.74803149606299213" bottom="0.15748031496062992" header="0.11811023622047245" footer="0.11811023622047245"/>
  <pageSetup paperSize="9" scale="6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topLeftCell="A13"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Лист1</vt:lpstr>
      <vt:lpstr>Лист2</vt:lpstr>
      <vt:lpstr>Лист3</vt:lpstr>
      <vt:lpstr>Лист1!Заголовки_для_печати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Пользователь</cp:lastModifiedBy>
  <cp:lastPrinted>2021-10-06T09:01:46Z</cp:lastPrinted>
  <dcterms:created xsi:type="dcterms:W3CDTF">2015-02-10T13:27:18Z</dcterms:created>
  <dcterms:modified xsi:type="dcterms:W3CDTF">2021-10-27T11:40:50Z</dcterms:modified>
</cp:coreProperties>
</file>