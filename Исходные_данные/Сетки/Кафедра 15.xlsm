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79" i="1"/>
  <c r="E78"/>
  <c r="C77" s="1"/>
  <c r="D77"/>
  <c r="F62"/>
  <c r="E61"/>
  <c r="D60"/>
  <c r="F45"/>
  <c r="E44"/>
  <c r="D43"/>
  <c r="F42"/>
  <c r="E41"/>
  <c r="D40"/>
  <c r="F39"/>
  <c r="E38"/>
  <c r="D37"/>
  <c r="F35"/>
  <c r="E34"/>
  <c r="D33"/>
  <c r="C33" s="1"/>
  <c r="F26"/>
  <c r="E25"/>
  <c r="D24"/>
  <c r="F71"/>
  <c r="E70"/>
  <c r="D69"/>
  <c r="C37" l="1"/>
  <c r="C69"/>
  <c r="C40"/>
  <c r="C24"/>
  <c r="C43"/>
  <c r="C60"/>
  <c r="F67"/>
  <c r="E66"/>
  <c r="D65"/>
  <c r="C65" l="1"/>
  <c r="F75"/>
  <c r="E74"/>
  <c r="D73"/>
  <c r="C73" l="1"/>
  <c r="F54"/>
  <c r="E53"/>
  <c r="D52"/>
  <c r="C52" l="1"/>
  <c r="F50" l="1"/>
  <c r="E49"/>
  <c r="D48"/>
  <c r="C48" l="1"/>
  <c r="F58"/>
  <c r="E57"/>
  <c r="D56"/>
  <c r="C56" l="1"/>
  <c r="F31"/>
  <c r="E30"/>
  <c r="D29"/>
  <c r="F18"/>
  <c r="E17"/>
  <c r="D16"/>
  <c r="C16" s="1"/>
  <c r="C29" l="1"/>
  <c r="F22"/>
  <c r="E21"/>
  <c r="D20"/>
  <c r="C20" l="1"/>
</calcChain>
</file>

<file path=xl/sharedStrings.xml><?xml version="1.0" encoding="utf-8"?>
<sst xmlns="http://schemas.openxmlformats.org/spreadsheetml/2006/main" count="72" uniqueCount="48">
  <si>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</si>
  <si>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</si>
  <si>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</si>
  <si>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</si>
  <si>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</si>
  <si>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</si>
  <si>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</si>
  <si>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</si>
  <si>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</si>
  <si>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</si>
  <si>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</si>
  <si>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</si>
  <si>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</si>
  <si>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</si>
  <si>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</si>
  <si>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</si>
  <si>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</si>
  <si>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</si>
  <si>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 xml:space="preserve">                                            Кафедра № 15</t>
  </si>
  <si>
    <t>Дисциплины кафедры № 15</t>
  </si>
  <si>
    <t xml:space="preserve">                                      Дисциплины  113,114 (ЛЭГВС)</t>
  </si>
  <si>
    <t>Аэронавигация</t>
  </si>
  <si>
    <t xml:space="preserve">Экзамен </t>
  </si>
  <si>
    <t>Дисциплины  110,111,112 (ОЛР)</t>
  </si>
  <si>
    <t>Зачет</t>
  </si>
  <si>
    <t>Дисциплины 103-104 (ЛЭГВС)</t>
  </si>
  <si>
    <t xml:space="preserve">               2 КУРС</t>
  </si>
  <si>
    <t>Экзамен</t>
  </si>
  <si>
    <t>Дисциплины  193,194 (ЛЭГВС)</t>
  </si>
  <si>
    <t xml:space="preserve">               3 КУРС</t>
  </si>
  <si>
    <t>Аэронавигация в международных полетах</t>
  </si>
  <si>
    <t>Дифф.зачет</t>
  </si>
  <si>
    <t>Дисциплины 190,191,192а (ОЛР)</t>
  </si>
  <si>
    <t>Дисциплины 192 (ОЛР)</t>
  </si>
  <si>
    <t>Дисциплины  183 (ЛЭГВС)</t>
  </si>
  <si>
    <t xml:space="preserve">               4 КУРС</t>
  </si>
  <si>
    <t>Аэронавигационное обеспечение полетов</t>
  </si>
  <si>
    <t>Дисциплины  184 (ЛЭГВС)</t>
  </si>
  <si>
    <t>Дисциплины  184а (ЛЭГВС)</t>
  </si>
  <si>
    <t xml:space="preserve">                                      Дисциплины  118,119 (ОрАНО)</t>
  </si>
  <si>
    <t>Дисциплины  105,106,107,107а (ИВП)</t>
  </si>
  <si>
    <t>Геоинформационные основы навигации</t>
  </si>
  <si>
    <t>КР</t>
  </si>
  <si>
    <t>Учебная практика по аэронавигации</t>
  </si>
  <si>
    <t>Дисциплины  108,109 (ОрАНО)</t>
  </si>
  <si>
    <t>Аэронавигационное обеспечение полётов</t>
  </si>
  <si>
    <t>Дисциплины  198,199  (ОрАНО)</t>
  </si>
  <si>
    <t>Дисциплины  188,189 (ОрАНО)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</si>
</sst>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21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33" xfId="0" applyFont="1" applyFill="1" applyBorder="1" applyAlignment="1">
      <alignment horizontal="center" vertical="center" wrapText="1"/>
    </xf>
    <xf numFmtId="0" fontId="3" fillId="3" borderId="42" xfId="0" applyFont="1" applyFill="1" applyBorder="1" applyAlignment="1">
      <alignment horizontal="center" vertic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7" fillId="3" borderId="42" xfId="0" applyFont="1" applyFill="1" applyBorder="1" applyAlignment="1">
      <alignment wrapText="1"/>
    </xf>
    <xf numFmtId="0" fontId="3" fillId="3" borderId="55" xfId="0" applyFont="1" applyFill="1" applyBorder="1" applyAlignment="1">
      <alignment horizontal="center" vertical="center" wrapText="1"/>
    </xf>
    <xf numFmtId="0" fontId="3" fillId="3" borderId="56" xfId="0" applyFont="1" applyFill="1" applyBorder="1" applyAlignment="1">
      <alignment horizontal="center" vertical="center" wrapText="1"/>
    </xf>
    <xf numFmtId="0" fontId="3" fillId="3" borderId="57" xfId="0" applyFont="1" applyFill="1" applyBorder="1" applyAlignment="1">
      <alignment horizontal="center" vertical="center" wrapText="1"/>
    </xf>
    <xf numFmtId="0" fontId="3" fillId="3" borderId="58" xfId="0" applyFont="1" applyFill="1" applyBorder="1" applyAlignment="1">
      <alignment horizontal="center" vertical="center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vertical="center" wrapText="1"/>
    </xf>
    <xf numFmtId="0" fontId="3" fillId="4" borderId="59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7" fillId="0" borderId="43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vertical="center" wrapText="1"/>
    </xf>
    <xf numFmtId="0" fontId="3" fillId="4" borderId="20" xfId="0" applyFont="1" applyFill="1" applyBorder="1" applyAlignment="1">
      <alignment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3" borderId="60" xfId="0" applyFont="1" applyFill="1" applyBorder="1" applyAlignment="1">
      <alignment vertical="center" wrapText="1"/>
    </xf>
    <xf numFmtId="0" fontId="3" fillId="3" borderId="52" xfId="0" applyFont="1" applyFill="1" applyBorder="1" applyAlignment="1">
      <alignment vertical="center" wrapText="1"/>
    </xf>
    <xf numFmtId="0" fontId="3" fillId="3" borderId="7" xfId="0" applyFont="1" applyFill="1" applyBorder="1" applyAlignment="1">
      <alignment vertical="center" wrapText="1"/>
    </xf>
    <xf numFmtId="0" fontId="7" fillId="0" borderId="42" xfId="0" applyFont="1" applyFill="1" applyBorder="1" applyAlignment="1">
      <alignment wrapText="1"/>
    </xf>
    <xf numFmtId="0" fontId="3" fillId="0" borderId="55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center" vertical="center" wrapText="1"/>
    </xf>
    <xf numFmtId="0" fontId="3" fillId="0" borderId="57" xfId="0" applyFont="1" applyFill="1" applyBorder="1" applyAlignment="1">
      <alignment horizontal="center" vertical="center" wrapText="1"/>
    </xf>
    <xf numFmtId="0" fontId="3" fillId="4" borderId="64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33" xfId="0" applyFont="1" applyFill="1" applyBorder="1" applyAlignment="1">
      <alignment vertical="center" wrapText="1"/>
    </xf>
    <xf numFmtId="0" fontId="3" fillId="4" borderId="33" xfId="0" applyFont="1" applyFill="1" applyBorder="1" applyAlignment="1">
      <alignment horizontal="center" vertical="center" wrapText="1"/>
    </xf>
    <xf numFmtId="0" fontId="3" fillId="4" borderId="65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3" borderId="40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 applyProtection="1">
      <alignment horizontal="center" vertical="center" wrapText="1" shrinkToFit="1"/>
    </xf>
    <xf numFmtId="49" fontId="3" fillId="0" borderId="7" xfId="0" applyNumberFormat="1" applyFont="1" applyFill="1" applyBorder="1" applyAlignment="1" applyProtection="1">
      <alignment horizontal="left" vertical="top" wrapText="1"/>
    </xf>
    <xf numFmtId="0" fontId="3" fillId="0" borderId="52" xfId="0" applyFont="1" applyFill="1" applyBorder="1" applyAlignment="1">
      <alignment horizontal="center" vertical="center" wrapText="1"/>
    </xf>
    <xf numFmtId="1" fontId="4" fillId="0" borderId="9" xfId="0" applyNumberFormat="1" applyFont="1" applyFill="1" applyBorder="1" applyAlignment="1" applyProtection="1">
      <alignment horizontal="center" vertical="center" wrapText="1" shrinkToFit="1"/>
    </xf>
    <xf numFmtId="49" fontId="3" fillId="0" borderId="10" xfId="0" applyNumberFormat="1" applyFont="1" applyFill="1" applyBorder="1" applyAlignment="1" applyProtection="1">
      <alignment horizontal="left" vertical="center" wrapText="1"/>
    </xf>
    <xf numFmtId="0" fontId="3" fillId="0" borderId="59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 shrinkToFit="1"/>
    </xf>
    <xf numFmtId="49" fontId="3" fillId="0" borderId="16" xfId="0" applyNumberFormat="1" applyFont="1" applyFill="1" applyBorder="1" applyAlignment="1" applyProtection="1">
      <alignment horizontal="left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66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64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  <xf numFmtId="0" fontId="3" fillId="0" borderId="32" xfId="0" applyFont="1" applyFill="1" applyBorder="1" applyAlignment="1">
      <alignment vertical="center" wrapText="1"/>
    </xf>
    <xf numFmtId="0" fontId="3" fillId="0" borderId="55" xfId="0" applyFont="1" applyFill="1" applyBorder="1" applyAlignment="1">
      <alignment vertical="center" wrapText="1"/>
    </xf>
    <xf numFmtId="0" fontId="3" fillId="0" borderId="37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20" xfId="0" applyFont="1" applyFill="1" applyBorder="1" applyAlignment="1">
      <alignment horizontal="center" wrapText="1"/>
    </xf>
    <xf numFmtId="0" fontId="2" fillId="0" borderId="17" xfId="0" applyFont="1" applyFill="1" applyBorder="1" applyAlignment="1">
      <alignment horizontal="center" wrapText="1"/>
    </xf>
    <xf numFmtId="0" fontId="2" fillId="0" borderId="61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62" xfId="0" applyFont="1" applyFill="1" applyBorder="1" applyAlignment="1">
      <alignment horizontal="center" wrapText="1"/>
    </xf>
    <xf numFmtId="0" fontId="2" fillId="0" borderId="51" xfId="0" applyFont="1" applyFill="1" applyBorder="1" applyAlignment="1">
      <alignment horizontal="center" wrapText="1"/>
    </xf>
    <xf numFmtId="0" fontId="2" fillId="0" borderId="63" xfId="0" applyFont="1" applyFill="1" applyBorder="1" applyAlignment="1">
      <alignment horizont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3" fillId="3" borderId="61" xfId="0" applyFont="1" applyFill="1" applyBorder="1" applyAlignment="1">
      <alignment horizontal="center" vertical="center" wrapText="1"/>
    </xf>
    <xf numFmtId="0" fontId="3" fillId="3" borderId="28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29" xfId="0" applyFont="1" applyFill="1" applyBorder="1" applyAlignment="1">
      <alignment horizontal="center" vertical="center" wrapText="1"/>
    </xf>
    <xf numFmtId="0" fontId="3" fillId="3" borderId="62" xfId="0" applyFont="1" applyFill="1" applyBorder="1" applyAlignment="1">
      <alignment horizontal="center" vertical="center" wrapText="1"/>
    </xf>
    <xf numFmtId="0" fontId="3" fillId="3" borderId="51" xfId="0" applyFont="1" applyFill="1" applyBorder="1" applyAlignment="1">
      <alignment horizontal="center" vertical="center" wrapText="1"/>
    </xf>
    <xf numFmtId="0" fontId="3" fillId="3" borderId="63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2" fillId="0" borderId="5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left" wrapText="1"/>
    </xf>
    <xf numFmtId="0" fontId="2" fillId="0" borderId="51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45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79"/>
  <sheetViews>
    <sheetView tabSelected="1" topLeftCell="A55" zoomScale="70" zoomScaleNormal="70" workbookViewId="0">
      <selection activeCell="A76" sqref="A76:AE76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202" t="s">
        <v>15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86"/>
    </row>
    <row r="2" spans="1:44">
      <c r="A2" s="203" t="s">
        <v>16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  <c r="AC2" s="203"/>
      <c r="AD2" s="203"/>
    </row>
    <row r="3" spans="1:44" ht="18.75" customHeight="1">
      <c r="A3" s="197"/>
      <c r="B3" s="197"/>
      <c r="C3" s="197"/>
      <c r="H3" s="204" t="s">
        <v>18</v>
      </c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209" t="s">
        <v>1</v>
      </c>
      <c r="B5" s="193" t="s">
        <v>0</v>
      </c>
      <c r="C5" s="205" t="s">
        <v>4</v>
      </c>
      <c r="D5" s="206"/>
      <c r="E5" s="206"/>
      <c r="F5" s="206"/>
      <c r="G5" s="192" t="s">
        <v>9</v>
      </c>
      <c r="H5" s="190"/>
      <c r="I5" s="189" t="s">
        <v>10</v>
      </c>
      <c r="J5" s="191"/>
      <c r="K5" s="191"/>
      <c r="L5" s="215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89" t="s">
        <v>13</v>
      </c>
      <c r="V5" s="190"/>
      <c r="W5" s="191"/>
      <c r="X5" s="191"/>
      <c r="Y5" s="54"/>
      <c r="Z5" s="189" t="s">
        <v>14</v>
      </c>
      <c r="AA5" s="191"/>
      <c r="AB5" s="191"/>
      <c r="AC5" s="191"/>
      <c r="AD5" s="61"/>
      <c r="AE5" s="193" t="s">
        <v>5</v>
      </c>
    </row>
    <row r="6" spans="1:44" ht="20.100000000000001" customHeight="1" thickBot="1">
      <c r="A6" s="210"/>
      <c r="B6" s="194"/>
      <c r="C6" s="207"/>
      <c r="D6" s="208"/>
      <c r="E6" s="208"/>
      <c r="F6" s="195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94"/>
    </row>
    <row r="7" spans="1:44" ht="20.100000000000001" customHeight="1" thickBot="1">
      <c r="A7" s="210"/>
      <c r="B7" s="194"/>
      <c r="C7" s="212" t="s">
        <v>2</v>
      </c>
      <c r="D7" s="218" t="s">
        <v>3</v>
      </c>
      <c r="E7" s="219"/>
      <c r="F7" s="220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94"/>
    </row>
    <row r="8" spans="1:44" ht="20.100000000000001" customHeight="1">
      <c r="A8" s="210"/>
      <c r="B8" s="194"/>
      <c r="C8" s="213"/>
      <c r="D8" s="216" t="s">
        <v>6</v>
      </c>
      <c r="E8" s="213" t="s">
        <v>7</v>
      </c>
      <c r="F8" s="213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94"/>
    </row>
    <row r="9" spans="1:44" s="4" customFormat="1" ht="20.100000000000001" customHeight="1" thickBot="1">
      <c r="A9" s="210"/>
      <c r="B9" s="194"/>
      <c r="C9" s="213"/>
      <c r="D9" s="216"/>
      <c r="E9" s="213"/>
      <c r="F9" s="213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95"/>
    </row>
    <row r="10" spans="1:44" s="4" customFormat="1" ht="20.100000000000001" customHeight="1">
      <c r="A10" s="210"/>
      <c r="B10" s="194"/>
      <c r="C10" s="213"/>
      <c r="D10" s="216"/>
      <c r="E10" s="213"/>
      <c r="F10" s="213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94"/>
    </row>
    <row r="11" spans="1:44" s="4" customFormat="1" ht="20.100000000000001" customHeight="1" thickBot="1">
      <c r="A11" s="210"/>
      <c r="B11" s="194"/>
      <c r="C11" s="213"/>
      <c r="D11" s="216"/>
      <c r="E11" s="213"/>
      <c r="F11" s="213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94"/>
    </row>
    <row r="12" spans="1:44" s="4" customFormat="1" ht="20.100000000000001" customHeight="1" thickBot="1">
      <c r="A12" s="211"/>
      <c r="B12" s="196"/>
      <c r="C12" s="214"/>
      <c r="D12" s="217"/>
      <c r="E12" s="214"/>
      <c r="F12" s="214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96"/>
    </row>
    <row r="13" spans="1:44" s="4" customFormat="1" ht="35.25" customHeight="1">
      <c r="A13" s="88"/>
      <c r="B13" s="88"/>
      <c r="C13" s="87"/>
      <c r="D13" s="87"/>
      <c r="E13" s="87"/>
      <c r="F13" s="87"/>
      <c r="G13" s="87"/>
      <c r="H13" s="87"/>
      <c r="I13" s="87"/>
      <c r="J13" s="87"/>
      <c r="K13" s="87"/>
      <c r="L13" s="199" t="s">
        <v>19</v>
      </c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</row>
    <row r="14" spans="1:44" s="4" customFormat="1" ht="41.25" customHeight="1" thickBot="1">
      <c r="A14" s="200" t="s">
        <v>17</v>
      </c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0"/>
      <c r="W14" s="200"/>
      <c r="X14" s="200"/>
      <c r="Y14" s="200"/>
      <c r="Z14" s="200"/>
      <c r="AA14" s="200"/>
      <c r="AB14" s="200"/>
      <c r="AC14" s="200"/>
      <c r="AD14" s="200"/>
      <c r="AE14" s="200"/>
      <c r="AM14" s="12"/>
      <c r="AN14" s="89"/>
      <c r="AO14" s="90"/>
      <c r="AP14" s="90"/>
      <c r="AQ14" s="11"/>
      <c r="AR14" s="11"/>
    </row>
    <row r="15" spans="1:44" s="4" customFormat="1" ht="27" customHeight="1" thickBot="1">
      <c r="A15" s="166" t="s">
        <v>23</v>
      </c>
      <c r="B15" s="166"/>
      <c r="C15" s="166"/>
      <c r="D15" s="166"/>
      <c r="E15" s="166"/>
      <c r="F15" s="166"/>
      <c r="G15" s="166"/>
      <c r="H15" s="166"/>
      <c r="I15" s="166"/>
      <c r="J15" s="166"/>
      <c r="K15" s="167"/>
      <c r="L15" s="167"/>
      <c r="M15" s="167"/>
      <c r="N15" s="167"/>
      <c r="O15" s="167"/>
      <c r="P15" s="167"/>
      <c r="Q15" s="167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</row>
    <row r="16" spans="1:44" ht="19.5">
      <c r="A16" s="76">
        <v>15</v>
      </c>
      <c r="B16" s="77" t="s">
        <v>21</v>
      </c>
      <c r="C16" s="62">
        <f t="shared" ref="C16" si="0">SUM(D16:F18)</f>
        <v>36</v>
      </c>
      <c r="D16" s="63">
        <f t="shared" ref="D16" si="1">SUM(G16:AD16)</f>
        <v>18</v>
      </c>
      <c r="E16" s="63"/>
      <c r="F16" s="64"/>
      <c r="G16" s="65">
        <v>2</v>
      </c>
      <c r="H16" s="66"/>
      <c r="I16" s="66">
        <v>2</v>
      </c>
      <c r="J16" s="65"/>
      <c r="K16" s="62">
        <v>2</v>
      </c>
      <c r="L16" s="63"/>
      <c r="M16" s="63">
        <v>2</v>
      </c>
      <c r="N16" s="63"/>
      <c r="O16" s="63">
        <v>2</v>
      </c>
      <c r="P16" s="93"/>
      <c r="Q16" s="68">
        <v>2</v>
      </c>
      <c r="R16" s="62"/>
      <c r="S16" s="63">
        <v>2</v>
      </c>
      <c r="T16" s="63"/>
      <c r="U16" s="63">
        <v>2</v>
      </c>
      <c r="V16" s="63"/>
      <c r="W16" s="63">
        <v>2</v>
      </c>
      <c r="X16" s="63"/>
      <c r="Y16" s="63"/>
      <c r="Z16" s="63"/>
      <c r="AA16" s="63"/>
      <c r="AB16" s="63"/>
      <c r="AC16" s="63"/>
      <c r="AD16" s="63"/>
      <c r="AE16" s="64" t="s">
        <v>24</v>
      </c>
    </row>
    <row r="17" spans="1:44">
      <c r="A17" s="78"/>
      <c r="B17" s="79"/>
      <c r="C17" s="67"/>
      <c r="D17" s="68"/>
      <c r="E17" s="68">
        <f t="shared" ref="E17" si="2">SUM(G17:AD17)</f>
        <v>18</v>
      </c>
      <c r="F17" s="69"/>
      <c r="G17" s="67"/>
      <c r="H17" s="68">
        <v>2</v>
      </c>
      <c r="I17" s="68"/>
      <c r="J17" s="67">
        <v>2</v>
      </c>
      <c r="K17" s="70"/>
      <c r="L17" s="71">
        <v>2</v>
      </c>
      <c r="M17" s="71"/>
      <c r="N17" s="71">
        <v>2</v>
      </c>
      <c r="O17" s="71"/>
      <c r="P17" s="94">
        <v>2</v>
      </c>
      <c r="Q17" s="68"/>
      <c r="R17" s="67">
        <v>2</v>
      </c>
      <c r="S17" s="68"/>
      <c r="T17" s="68">
        <v>2</v>
      </c>
      <c r="U17" s="68"/>
      <c r="V17" s="68">
        <v>2</v>
      </c>
      <c r="W17" s="68"/>
      <c r="X17" s="68">
        <v>2</v>
      </c>
      <c r="Y17" s="68"/>
      <c r="Z17" s="68"/>
      <c r="AA17" s="68"/>
      <c r="AB17" s="68"/>
      <c r="AC17" s="68"/>
      <c r="AD17" s="68"/>
      <c r="AE17" s="72"/>
    </row>
    <row r="18" spans="1:44">
      <c r="A18" s="82"/>
      <c r="B18" s="95"/>
      <c r="C18" s="96"/>
      <c r="D18" s="97"/>
      <c r="E18" s="97"/>
      <c r="F18" s="98">
        <f t="shared" ref="F18" si="3">SUM(G18:AD18)</f>
        <v>0</v>
      </c>
      <c r="G18" s="96"/>
      <c r="H18" s="97"/>
      <c r="I18" s="97"/>
      <c r="J18" s="96"/>
      <c r="K18" s="96"/>
      <c r="L18" s="97"/>
      <c r="M18" s="97"/>
      <c r="N18" s="97"/>
      <c r="O18" s="97"/>
      <c r="P18" s="99"/>
      <c r="Q18" s="97"/>
      <c r="R18" s="96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8">
        <v>9</v>
      </c>
    </row>
    <row r="19" spans="1:44" s="4" customFormat="1" ht="30" customHeight="1" thickBot="1">
      <c r="A19" s="198" t="s">
        <v>20</v>
      </c>
      <c r="B19" s="198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D19" s="198"/>
      <c r="AE19" s="198"/>
    </row>
    <row r="20" spans="1:44" ht="19.5">
      <c r="A20" s="76">
        <v>15</v>
      </c>
      <c r="B20" s="77" t="s">
        <v>21</v>
      </c>
      <c r="C20" s="62">
        <f t="shared" ref="C20" si="4">SUM(D20:F22)</f>
        <v>36</v>
      </c>
      <c r="D20" s="63">
        <f t="shared" ref="D20" si="5">SUM(G20:AD20)</f>
        <v>18</v>
      </c>
      <c r="E20" s="63"/>
      <c r="F20" s="64"/>
      <c r="G20" s="65">
        <v>2</v>
      </c>
      <c r="H20" s="66"/>
      <c r="I20" s="66">
        <v>2</v>
      </c>
      <c r="J20" s="65"/>
      <c r="K20" s="62">
        <v>2</v>
      </c>
      <c r="L20" s="63"/>
      <c r="M20" s="63">
        <v>2</v>
      </c>
      <c r="N20" s="63"/>
      <c r="O20" s="63">
        <v>2</v>
      </c>
      <c r="P20" s="63"/>
      <c r="Q20" s="62">
        <v>2</v>
      </c>
      <c r="R20" s="62"/>
      <c r="S20" s="63">
        <v>2</v>
      </c>
      <c r="T20" s="63"/>
      <c r="U20" s="63">
        <v>2</v>
      </c>
      <c r="V20" s="63"/>
      <c r="W20" s="63">
        <v>2</v>
      </c>
      <c r="X20" s="63"/>
      <c r="Y20" s="63"/>
      <c r="Z20" s="63"/>
      <c r="AA20" s="63"/>
      <c r="AB20" s="63"/>
      <c r="AC20" s="63"/>
      <c r="AD20" s="63"/>
      <c r="AE20" s="64" t="s">
        <v>22</v>
      </c>
    </row>
    <row r="21" spans="1:44">
      <c r="A21" s="78"/>
      <c r="B21" s="79"/>
      <c r="C21" s="67"/>
      <c r="D21" s="68"/>
      <c r="E21" s="68">
        <f t="shared" ref="E21" si="6">SUM(G21:AD21)</f>
        <v>18</v>
      </c>
      <c r="F21" s="69"/>
      <c r="G21" s="67"/>
      <c r="H21" s="68">
        <v>2</v>
      </c>
      <c r="I21" s="68"/>
      <c r="J21" s="67">
        <v>2</v>
      </c>
      <c r="K21" s="70"/>
      <c r="L21" s="71">
        <v>2</v>
      </c>
      <c r="M21" s="71"/>
      <c r="N21" s="71">
        <v>2</v>
      </c>
      <c r="O21" s="71"/>
      <c r="P21" s="71">
        <v>2</v>
      </c>
      <c r="Q21" s="67"/>
      <c r="R21" s="67">
        <v>2</v>
      </c>
      <c r="S21" s="68"/>
      <c r="T21" s="68">
        <v>2</v>
      </c>
      <c r="U21" s="68"/>
      <c r="V21" s="68">
        <v>2</v>
      </c>
      <c r="W21" s="68"/>
      <c r="X21" s="68">
        <v>2</v>
      </c>
      <c r="Y21" s="68"/>
      <c r="Z21" s="68"/>
      <c r="AA21" s="68"/>
      <c r="AB21" s="68"/>
      <c r="AC21" s="68"/>
      <c r="AD21" s="68"/>
      <c r="AE21" s="72"/>
    </row>
    <row r="22" spans="1:44" ht="19.5" thickBot="1">
      <c r="A22" s="141"/>
      <c r="B22" s="83"/>
      <c r="C22" s="80"/>
      <c r="D22" s="81"/>
      <c r="E22" s="81"/>
      <c r="F22" s="85">
        <f t="shared" ref="F22" si="7">SUM(G22:AD22)</f>
        <v>0</v>
      </c>
      <c r="G22" s="80"/>
      <c r="H22" s="81"/>
      <c r="I22" s="81"/>
      <c r="J22" s="80"/>
      <c r="K22" s="80"/>
      <c r="L22" s="81"/>
      <c r="M22" s="81"/>
      <c r="N22" s="81"/>
      <c r="O22" s="81"/>
      <c r="P22" s="81"/>
      <c r="Q22" s="80"/>
      <c r="R22" s="80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5">
        <v>36</v>
      </c>
    </row>
    <row r="23" spans="1:44" ht="19.5" thickBot="1">
      <c r="A23" s="198" t="s">
        <v>39</v>
      </c>
      <c r="B23" s="198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198"/>
      <c r="AC23" s="198"/>
      <c r="AD23" s="198"/>
      <c r="AE23" s="198"/>
    </row>
    <row r="24" spans="1:44" ht="19.5">
      <c r="A24" s="76">
        <v>15</v>
      </c>
      <c r="B24" s="77" t="s">
        <v>21</v>
      </c>
      <c r="C24" s="62">
        <f t="shared" ref="C24" si="8">SUM(D24:F26)</f>
        <v>72</v>
      </c>
      <c r="D24" s="63">
        <f t="shared" ref="D24" si="9">SUM(G24:AD24)</f>
        <v>36</v>
      </c>
      <c r="E24" s="63"/>
      <c r="F24" s="64"/>
      <c r="G24" s="65">
        <v>2</v>
      </c>
      <c r="H24" s="65">
        <v>2</v>
      </c>
      <c r="I24" s="65">
        <v>2</v>
      </c>
      <c r="J24" s="65">
        <v>2</v>
      </c>
      <c r="K24" s="65">
        <v>2</v>
      </c>
      <c r="L24" s="65">
        <v>2</v>
      </c>
      <c r="M24" s="65">
        <v>2</v>
      </c>
      <c r="N24" s="65">
        <v>2</v>
      </c>
      <c r="O24" s="65">
        <v>2</v>
      </c>
      <c r="P24" s="65">
        <v>2</v>
      </c>
      <c r="Q24" s="65">
        <v>2</v>
      </c>
      <c r="R24" s="65">
        <v>2</v>
      </c>
      <c r="S24" s="65">
        <v>2</v>
      </c>
      <c r="T24" s="65">
        <v>2</v>
      </c>
      <c r="U24" s="65">
        <v>2</v>
      </c>
      <c r="V24" s="65">
        <v>2</v>
      </c>
      <c r="W24" s="65">
        <v>2</v>
      </c>
      <c r="X24" s="65">
        <v>2</v>
      </c>
      <c r="Y24" s="63"/>
      <c r="Z24" s="63"/>
      <c r="AA24" s="63"/>
      <c r="AB24" s="63"/>
      <c r="AC24" s="63"/>
      <c r="AD24" s="63"/>
      <c r="AE24" s="64" t="s">
        <v>22</v>
      </c>
    </row>
    <row r="25" spans="1:44">
      <c r="A25" s="78"/>
      <c r="B25" s="79"/>
      <c r="C25" s="67"/>
      <c r="D25" s="68"/>
      <c r="E25" s="68">
        <f t="shared" ref="E25" si="10">SUM(G25:AD25)</f>
        <v>36</v>
      </c>
      <c r="F25" s="69"/>
      <c r="G25" s="91">
        <v>2</v>
      </c>
      <c r="H25" s="91">
        <v>2</v>
      </c>
      <c r="I25" s="91">
        <v>2</v>
      </c>
      <c r="J25" s="91">
        <v>2</v>
      </c>
      <c r="K25" s="91">
        <v>2</v>
      </c>
      <c r="L25" s="91">
        <v>2</v>
      </c>
      <c r="M25" s="91">
        <v>2</v>
      </c>
      <c r="N25" s="91">
        <v>2</v>
      </c>
      <c r="O25" s="91">
        <v>2</v>
      </c>
      <c r="P25" s="91">
        <v>2</v>
      </c>
      <c r="Q25" s="91">
        <v>2</v>
      </c>
      <c r="R25" s="91">
        <v>2</v>
      </c>
      <c r="S25" s="91">
        <v>2</v>
      </c>
      <c r="T25" s="91">
        <v>2</v>
      </c>
      <c r="U25" s="91">
        <v>2</v>
      </c>
      <c r="V25" s="91">
        <v>2</v>
      </c>
      <c r="W25" s="91">
        <v>2</v>
      </c>
      <c r="X25" s="91">
        <v>2</v>
      </c>
      <c r="Y25" s="68"/>
      <c r="Z25" s="68"/>
      <c r="AA25" s="68"/>
      <c r="AB25" s="68"/>
      <c r="AC25" s="68"/>
      <c r="AD25" s="68"/>
      <c r="AE25" s="72"/>
    </row>
    <row r="26" spans="1:44" ht="19.5" thickBot="1">
      <c r="A26" s="82"/>
      <c r="B26" s="83"/>
      <c r="C26" s="73"/>
      <c r="D26" s="74"/>
      <c r="E26" s="74"/>
      <c r="F26" s="75">
        <f t="shared" ref="F26" si="11">SUM(G26:AD26)</f>
        <v>0</v>
      </c>
      <c r="G26" s="80"/>
      <c r="H26" s="81"/>
      <c r="I26" s="80"/>
      <c r="J26" s="80"/>
      <c r="K26" s="80"/>
      <c r="L26" s="81"/>
      <c r="M26" s="81"/>
      <c r="N26" s="81"/>
      <c r="O26" s="81"/>
      <c r="P26" s="81"/>
      <c r="Q26" s="80"/>
      <c r="R26" s="80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75">
        <v>36</v>
      </c>
    </row>
    <row r="27" spans="1:44" s="4" customFormat="1" ht="42.75" customHeight="1" thickBot="1">
      <c r="A27" s="201" t="s">
        <v>26</v>
      </c>
      <c r="B27" s="201"/>
      <c r="C27" s="201"/>
      <c r="D27" s="201"/>
      <c r="E27" s="201"/>
      <c r="F27" s="201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1"/>
      <c r="T27" s="201"/>
      <c r="U27" s="201"/>
      <c r="V27" s="201"/>
      <c r="W27" s="201"/>
      <c r="X27" s="201"/>
      <c r="Y27" s="201"/>
      <c r="Z27" s="201"/>
      <c r="AA27" s="201"/>
      <c r="AB27" s="201"/>
      <c r="AC27" s="201"/>
      <c r="AD27" s="201"/>
      <c r="AE27" s="201"/>
      <c r="AM27" s="11"/>
      <c r="AN27" s="11"/>
      <c r="AO27" s="11"/>
      <c r="AP27" s="11"/>
      <c r="AQ27" s="11"/>
      <c r="AR27" s="11"/>
    </row>
    <row r="28" spans="1:44" s="4" customFormat="1" ht="34.5" customHeight="1" thickBot="1">
      <c r="A28" s="166" t="s">
        <v>25</v>
      </c>
      <c r="B28" s="166"/>
      <c r="C28" s="166"/>
      <c r="D28" s="166"/>
      <c r="E28" s="166"/>
      <c r="F28" s="166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67"/>
      <c r="W28" s="167"/>
      <c r="X28" s="167"/>
      <c r="Y28" s="167"/>
      <c r="Z28" s="167"/>
      <c r="AA28" s="166"/>
      <c r="AB28" s="166"/>
      <c r="AC28" s="166"/>
      <c r="AD28" s="166"/>
      <c r="AE28" s="166"/>
    </row>
    <row r="29" spans="1:44" s="4" customFormat="1" ht="19.5" customHeight="1">
      <c r="A29" s="100">
        <v>15</v>
      </c>
      <c r="B29" s="101" t="s">
        <v>21</v>
      </c>
      <c r="C29" s="102">
        <f>SUM(D29:F30)</f>
        <v>72</v>
      </c>
      <c r="D29" s="103">
        <f>SUM(G29:L29)</f>
        <v>48</v>
      </c>
      <c r="E29" s="103"/>
      <c r="F29" s="104"/>
      <c r="G29" s="121">
        <v>8</v>
      </c>
      <c r="H29" s="122">
        <v>8</v>
      </c>
      <c r="I29" s="122">
        <v>8</v>
      </c>
      <c r="J29" s="123">
        <v>8</v>
      </c>
      <c r="K29" s="124">
        <v>8</v>
      </c>
      <c r="L29" s="108">
        <v>8</v>
      </c>
      <c r="M29" s="168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70"/>
      <c r="Z29" s="102"/>
      <c r="AA29" s="103"/>
      <c r="AB29" s="103"/>
      <c r="AC29" s="103"/>
      <c r="AD29" s="109"/>
      <c r="AE29" s="104" t="s">
        <v>27</v>
      </c>
      <c r="AM29" s="11"/>
      <c r="AN29" s="11"/>
      <c r="AO29" s="11"/>
      <c r="AP29" s="11"/>
      <c r="AQ29" s="11"/>
      <c r="AR29" s="11"/>
    </row>
    <row r="30" spans="1:44" s="4" customFormat="1" ht="18.75" customHeight="1">
      <c r="A30" s="110"/>
      <c r="B30" s="111"/>
      <c r="C30" s="112"/>
      <c r="D30" s="113"/>
      <c r="E30" s="113">
        <f>SUM(G30:L30)</f>
        <v>24</v>
      </c>
      <c r="F30" s="114"/>
      <c r="G30" s="115">
        <v>4</v>
      </c>
      <c r="H30" s="105">
        <v>4</v>
      </c>
      <c r="I30" s="105">
        <v>4</v>
      </c>
      <c r="J30" s="106">
        <v>4</v>
      </c>
      <c r="K30" s="107">
        <v>4</v>
      </c>
      <c r="L30" s="116">
        <v>4</v>
      </c>
      <c r="M30" s="171"/>
      <c r="N30" s="167"/>
      <c r="O30" s="167"/>
      <c r="P30" s="167"/>
      <c r="Q30" s="167"/>
      <c r="R30" s="167"/>
      <c r="S30" s="167"/>
      <c r="T30" s="167"/>
      <c r="U30" s="167"/>
      <c r="V30" s="167"/>
      <c r="W30" s="167"/>
      <c r="X30" s="167"/>
      <c r="Y30" s="172"/>
      <c r="Z30" s="112"/>
      <c r="AA30" s="113"/>
      <c r="AB30" s="113"/>
      <c r="AC30" s="113"/>
      <c r="AD30" s="117"/>
      <c r="AE30" s="118"/>
      <c r="AM30" s="12"/>
      <c r="AN30" s="89"/>
      <c r="AO30" s="165"/>
      <c r="AP30" s="165"/>
      <c r="AQ30" s="11"/>
      <c r="AR30" s="11"/>
    </row>
    <row r="31" spans="1:44" s="4" customFormat="1" ht="19.5" customHeight="1">
      <c r="A31" s="119"/>
      <c r="B31" s="128"/>
      <c r="C31" s="129"/>
      <c r="D31" s="130"/>
      <c r="E31" s="130"/>
      <c r="F31" s="131">
        <f>SUM(G31:L31)</f>
        <v>0</v>
      </c>
      <c r="G31" s="132"/>
      <c r="H31" s="133"/>
      <c r="I31" s="133"/>
      <c r="J31" s="134"/>
      <c r="K31" s="135"/>
      <c r="L31" s="136"/>
      <c r="M31" s="171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172"/>
      <c r="Z31" s="137"/>
      <c r="AA31" s="138"/>
      <c r="AB31" s="138"/>
      <c r="AC31" s="138"/>
      <c r="AD31" s="120"/>
      <c r="AE31" s="131">
        <v>27</v>
      </c>
      <c r="AM31" s="12"/>
      <c r="AN31" s="89"/>
      <c r="AO31" s="165"/>
      <c r="AP31" s="165"/>
      <c r="AQ31" s="11"/>
      <c r="AR31" s="11"/>
    </row>
    <row r="32" spans="1:44" s="4" customFormat="1" ht="19.5" customHeight="1" thickBot="1">
      <c r="A32" s="166" t="s">
        <v>40</v>
      </c>
      <c r="B32" s="166"/>
      <c r="C32" s="166"/>
      <c r="D32" s="166"/>
      <c r="E32" s="166"/>
      <c r="F32" s="166"/>
      <c r="G32" s="166"/>
      <c r="H32" s="166"/>
      <c r="I32" s="166"/>
      <c r="J32" s="166"/>
      <c r="K32" s="167"/>
      <c r="L32" s="167"/>
      <c r="M32" s="167"/>
      <c r="N32" s="167"/>
      <c r="O32" s="167"/>
      <c r="P32" s="167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M32" s="12"/>
      <c r="AN32" s="89"/>
      <c r="AO32" s="162"/>
      <c r="AP32" s="162"/>
      <c r="AQ32" s="11"/>
      <c r="AR32" s="11"/>
    </row>
    <row r="33" spans="1:44" s="4" customFormat="1" ht="19.5">
      <c r="A33" s="76">
        <v>15</v>
      </c>
      <c r="B33" s="77" t="s">
        <v>21</v>
      </c>
      <c r="C33" s="62">
        <f t="shared" ref="C33" si="12">SUM(D33:F35)</f>
        <v>54</v>
      </c>
      <c r="D33" s="63">
        <f t="shared" ref="D33" si="13">SUM(G33:AD33)</f>
        <v>18</v>
      </c>
      <c r="E33" s="63"/>
      <c r="F33" s="64"/>
      <c r="G33" s="62">
        <v>2</v>
      </c>
      <c r="H33" s="63"/>
      <c r="I33" s="63">
        <v>2</v>
      </c>
      <c r="J33" s="62"/>
      <c r="K33" s="62">
        <v>2</v>
      </c>
      <c r="L33" s="63"/>
      <c r="M33" s="63">
        <v>2</v>
      </c>
      <c r="N33" s="63"/>
      <c r="O33" s="63">
        <v>2</v>
      </c>
      <c r="P33" s="63"/>
      <c r="Q33" s="62">
        <v>2</v>
      </c>
      <c r="R33" s="62"/>
      <c r="S33" s="63">
        <v>2</v>
      </c>
      <c r="T33" s="63"/>
      <c r="U33" s="63">
        <v>2</v>
      </c>
      <c r="V33" s="63"/>
      <c r="W33" s="63">
        <v>2</v>
      </c>
      <c r="X33" s="63"/>
      <c r="Y33" s="63"/>
      <c r="Z33" s="63"/>
      <c r="AA33" s="63"/>
      <c r="AB33" s="63"/>
      <c r="AC33" s="63"/>
      <c r="AD33" s="63"/>
      <c r="AE33" s="64" t="s">
        <v>22</v>
      </c>
      <c r="AM33" s="11"/>
      <c r="AN33" s="11"/>
      <c r="AO33" s="11"/>
      <c r="AP33" s="11"/>
      <c r="AQ33" s="11"/>
      <c r="AR33" s="11"/>
    </row>
    <row r="34" spans="1:44" s="4" customFormat="1">
      <c r="A34" s="78"/>
      <c r="B34" s="79"/>
      <c r="C34" s="67"/>
      <c r="D34" s="68"/>
      <c r="E34" s="68">
        <f t="shared" ref="E34" si="14">SUM(G34:X34)</f>
        <v>36</v>
      </c>
      <c r="F34" s="69"/>
      <c r="G34" s="91">
        <v>2</v>
      </c>
      <c r="H34" s="91">
        <v>2</v>
      </c>
      <c r="I34" s="91">
        <v>2</v>
      </c>
      <c r="J34" s="91">
        <v>2</v>
      </c>
      <c r="K34" s="91">
        <v>2</v>
      </c>
      <c r="L34" s="91">
        <v>2</v>
      </c>
      <c r="M34" s="91">
        <v>2</v>
      </c>
      <c r="N34" s="91">
        <v>2</v>
      </c>
      <c r="O34" s="91">
        <v>2</v>
      </c>
      <c r="P34" s="91">
        <v>2</v>
      </c>
      <c r="Q34" s="91">
        <v>2</v>
      </c>
      <c r="R34" s="91">
        <v>2</v>
      </c>
      <c r="S34" s="91">
        <v>2</v>
      </c>
      <c r="T34" s="91">
        <v>2</v>
      </c>
      <c r="U34" s="91">
        <v>2</v>
      </c>
      <c r="V34" s="91">
        <v>2</v>
      </c>
      <c r="W34" s="91">
        <v>2</v>
      </c>
      <c r="X34" s="91">
        <v>2</v>
      </c>
      <c r="Y34" s="68"/>
      <c r="Z34" s="68"/>
      <c r="AA34" s="68"/>
      <c r="AB34" s="68"/>
      <c r="AC34" s="68"/>
      <c r="AD34" s="68"/>
      <c r="AE34" s="72"/>
      <c r="AM34" s="12"/>
      <c r="AN34" s="89"/>
      <c r="AO34" s="165"/>
      <c r="AP34" s="165"/>
      <c r="AQ34" s="11"/>
      <c r="AR34" s="11"/>
    </row>
    <row r="35" spans="1:44" s="4" customFormat="1" ht="19.5" thickBot="1">
      <c r="A35" s="82"/>
      <c r="B35" s="83"/>
      <c r="C35" s="73"/>
      <c r="D35" s="74"/>
      <c r="E35" s="74"/>
      <c r="F35" s="75">
        <f t="shared" ref="F35" si="15">SUM(G35:AD35)</f>
        <v>0</v>
      </c>
      <c r="G35" s="80"/>
      <c r="H35" s="81"/>
      <c r="I35" s="80"/>
      <c r="J35" s="80"/>
      <c r="K35" s="80"/>
      <c r="L35" s="81"/>
      <c r="M35" s="81"/>
      <c r="N35" s="81"/>
      <c r="O35" s="81"/>
      <c r="P35" s="81"/>
      <c r="Q35" s="80"/>
      <c r="R35" s="80"/>
      <c r="S35" s="81"/>
      <c r="T35" s="81"/>
      <c r="U35" s="81"/>
      <c r="V35" s="81"/>
      <c r="W35" s="81"/>
      <c r="X35" s="81"/>
      <c r="Y35" s="81"/>
      <c r="Z35" s="81"/>
      <c r="AA35" s="81"/>
      <c r="AB35" s="81"/>
      <c r="AC35" s="81"/>
      <c r="AD35" s="81"/>
      <c r="AE35" s="75">
        <v>36</v>
      </c>
      <c r="AM35" s="12"/>
      <c r="AN35" s="89"/>
      <c r="AO35" s="165"/>
      <c r="AP35" s="165"/>
      <c r="AQ35" s="11"/>
      <c r="AR35" s="11"/>
    </row>
    <row r="36" spans="1:44" s="4" customFormat="1" ht="19.5" thickBot="1">
      <c r="A36" s="166" t="s">
        <v>44</v>
      </c>
      <c r="B36" s="166"/>
      <c r="C36" s="166"/>
      <c r="D36" s="166"/>
      <c r="E36" s="166"/>
      <c r="F36" s="166"/>
      <c r="G36" s="166"/>
      <c r="H36" s="166"/>
      <c r="I36" s="166"/>
      <c r="J36" s="166"/>
      <c r="K36" s="167"/>
      <c r="L36" s="167"/>
      <c r="M36" s="167"/>
      <c r="N36" s="167"/>
      <c r="O36" s="167"/>
      <c r="P36" s="167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M36" s="12"/>
      <c r="AN36" s="89"/>
      <c r="AO36" s="163"/>
      <c r="AP36" s="163"/>
      <c r="AQ36" s="11"/>
      <c r="AR36" s="11"/>
    </row>
    <row r="37" spans="1:44" ht="37.5">
      <c r="A37" s="76">
        <v>15</v>
      </c>
      <c r="B37" s="77" t="s">
        <v>41</v>
      </c>
      <c r="C37" s="62">
        <f t="shared" ref="C37" si="16">SUM(D37:F39)</f>
        <v>100</v>
      </c>
      <c r="D37" s="63">
        <f t="shared" ref="D37" si="17">SUM(G37:Z37)</f>
        <v>60</v>
      </c>
      <c r="E37" s="63"/>
      <c r="F37" s="64"/>
      <c r="G37" s="65">
        <v>4</v>
      </c>
      <c r="H37" s="66">
        <v>2</v>
      </c>
      <c r="I37" s="66">
        <v>4</v>
      </c>
      <c r="J37" s="65">
        <v>2</v>
      </c>
      <c r="K37" s="62">
        <v>4</v>
      </c>
      <c r="L37" s="63">
        <v>2</v>
      </c>
      <c r="M37" s="63">
        <v>4</v>
      </c>
      <c r="N37" s="63">
        <v>2</v>
      </c>
      <c r="O37" s="63">
        <v>4</v>
      </c>
      <c r="P37" s="63">
        <v>2</v>
      </c>
      <c r="Q37" s="62">
        <v>4</v>
      </c>
      <c r="R37" s="62">
        <v>2</v>
      </c>
      <c r="S37" s="63">
        <v>4</v>
      </c>
      <c r="T37" s="63">
        <v>2</v>
      </c>
      <c r="U37" s="63">
        <v>4</v>
      </c>
      <c r="V37" s="63">
        <v>2</v>
      </c>
      <c r="W37" s="63">
        <v>4</v>
      </c>
      <c r="X37" s="63">
        <v>2</v>
      </c>
      <c r="Y37" s="63">
        <v>4</v>
      </c>
      <c r="Z37" s="63">
        <v>2</v>
      </c>
      <c r="AA37" s="63"/>
      <c r="AB37" s="63"/>
      <c r="AC37" s="63"/>
      <c r="AD37" s="63"/>
      <c r="AE37" s="64" t="s">
        <v>27</v>
      </c>
    </row>
    <row r="38" spans="1:44">
      <c r="A38" s="78"/>
      <c r="B38" s="79"/>
      <c r="C38" s="67"/>
      <c r="D38" s="68"/>
      <c r="E38" s="68">
        <f t="shared" ref="E38" si="18">SUM(G38:Z38)</f>
        <v>36</v>
      </c>
      <c r="F38" s="69"/>
      <c r="G38" s="91">
        <v>2</v>
      </c>
      <c r="H38" s="91">
        <v>2</v>
      </c>
      <c r="I38" s="91">
        <v>2</v>
      </c>
      <c r="J38" s="91">
        <v>2</v>
      </c>
      <c r="K38" s="91">
        <v>2</v>
      </c>
      <c r="L38" s="91">
        <v>2</v>
      </c>
      <c r="M38" s="91">
        <v>2</v>
      </c>
      <c r="N38" s="91">
        <v>2</v>
      </c>
      <c r="O38" s="91">
        <v>2</v>
      </c>
      <c r="P38" s="91">
        <v>2</v>
      </c>
      <c r="Q38" s="91">
        <v>2</v>
      </c>
      <c r="R38" s="91">
        <v>2</v>
      </c>
      <c r="S38" s="91">
        <v>2</v>
      </c>
      <c r="T38" s="91">
        <v>2</v>
      </c>
      <c r="U38" s="91">
        <v>2</v>
      </c>
      <c r="V38" s="91">
        <v>2</v>
      </c>
      <c r="W38" s="91">
        <v>2</v>
      </c>
      <c r="X38" s="91">
        <v>2</v>
      </c>
      <c r="Y38" s="68"/>
      <c r="Z38" s="68"/>
      <c r="AA38" s="68"/>
      <c r="AB38" s="68"/>
      <c r="AC38" s="68"/>
      <c r="AD38" s="68"/>
      <c r="AE38" s="72" t="s">
        <v>42</v>
      </c>
    </row>
    <row r="39" spans="1:44" ht="19.5" thickBot="1">
      <c r="A39" s="82"/>
      <c r="B39" s="83"/>
      <c r="C39" s="73"/>
      <c r="D39" s="74"/>
      <c r="E39" s="74"/>
      <c r="F39" s="75">
        <f t="shared" ref="F39" si="19">SUM(G39:Z39)</f>
        <v>4</v>
      </c>
      <c r="G39" s="80"/>
      <c r="H39" s="81"/>
      <c r="I39" s="80"/>
      <c r="J39" s="73"/>
      <c r="K39" s="80"/>
      <c r="L39" s="81"/>
      <c r="M39" s="81"/>
      <c r="N39" s="81"/>
      <c r="O39" s="81"/>
      <c r="P39" s="81"/>
      <c r="Q39" s="80"/>
      <c r="R39" s="80"/>
      <c r="S39" s="81"/>
      <c r="T39" s="81"/>
      <c r="U39" s="81"/>
      <c r="V39" s="81"/>
      <c r="W39" s="81"/>
      <c r="X39" s="81"/>
      <c r="Y39" s="81">
        <v>2</v>
      </c>
      <c r="Z39" s="81">
        <v>2</v>
      </c>
      <c r="AA39" s="81"/>
      <c r="AB39" s="81"/>
      <c r="AC39" s="81"/>
      <c r="AD39" s="81"/>
      <c r="AE39" s="75">
        <v>36</v>
      </c>
    </row>
    <row r="40" spans="1:44" ht="19.5">
      <c r="A40" s="76">
        <v>15</v>
      </c>
      <c r="B40" s="77" t="s">
        <v>21</v>
      </c>
      <c r="C40" s="62">
        <f t="shared" ref="C40" si="20">SUM(D40:F42)</f>
        <v>80</v>
      </c>
      <c r="D40" s="63">
        <f t="shared" ref="D40" si="21">SUM(G40:Z40)</f>
        <v>40</v>
      </c>
      <c r="E40" s="63"/>
      <c r="F40" s="64"/>
      <c r="G40" s="65">
        <v>2</v>
      </c>
      <c r="H40" s="65">
        <v>2</v>
      </c>
      <c r="I40" s="65">
        <v>2</v>
      </c>
      <c r="J40" s="65">
        <v>2</v>
      </c>
      <c r="K40" s="65">
        <v>2</v>
      </c>
      <c r="L40" s="65">
        <v>2</v>
      </c>
      <c r="M40" s="65">
        <v>2</v>
      </c>
      <c r="N40" s="65">
        <v>2</v>
      </c>
      <c r="O40" s="65">
        <v>2</v>
      </c>
      <c r="P40" s="65">
        <v>2</v>
      </c>
      <c r="Q40" s="65">
        <v>2</v>
      </c>
      <c r="R40" s="65">
        <v>2</v>
      </c>
      <c r="S40" s="65">
        <v>2</v>
      </c>
      <c r="T40" s="65">
        <v>2</v>
      </c>
      <c r="U40" s="65">
        <v>2</v>
      </c>
      <c r="V40" s="65">
        <v>2</v>
      </c>
      <c r="W40" s="65">
        <v>2</v>
      </c>
      <c r="X40" s="65">
        <v>2</v>
      </c>
      <c r="Y40" s="65">
        <v>2</v>
      </c>
      <c r="Z40" s="65">
        <v>2</v>
      </c>
      <c r="AA40" s="63"/>
      <c r="AB40" s="63"/>
      <c r="AC40" s="63"/>
      <c r="AD40" s="63"/>
      <c r="AE40" s="64" t="s">
        <v>31</v>
      </c>
    </row>
    <row r="41" spans="1:44">
      <c r="A41" s="78"/>
      <c r="B41" s="79"/>
      <c r="C41" s="67"/>
      <c r="D41" s="68"/>
      <c r="E41" s="68">
        <f t="shared" ref="E41" si="22">SUM(G41:Z41)</f>
        <v>36</v>
      </c>
      <c r="F41" s="69"/>
      <c r="G41" s="91">
        <v>2</v>
      </c>
      <c r="H41" s="91">
        <v>2</v>
      </c>
      <c r="I41" s="91">
        <v>2</v>
      </c>
      <c r="J41" s="91">
        <v>2</v>
      </c>
      <c r="K41" s="91">
        <v>2</v>
      </c>
      <c r="L41" s="91">
        <v>2</v>
      </c>
      <c r="M41" s="91">
        <v>2</v>
      </c>
      <c r="N41" s="91">
        <v>2</v>
      </c>
      <c r="O41" s="91">
        <v>2</v>
      </c>
      <c r="P41" s="91">
        <v>2</v>
      </c>
      <c r="Q41" s="91">
        <v>2</v>
      </c>
      <c r="R41" s="91">
        <v>2</v>
      </c>
      <c r="S41" s="91">
        <v>2</v>
      </c>
      <c r="T41" s="91">
        <v>2</v>
      </c>
      <c r="U41" s="91">
        <v>2</v>
      </c>
      <c r="V41" s="91">
        <v>2</v>
      </c>
      <c r="W41" s="91">
        <v>2</v>
      </c>
      <c r="X41" s="91">
        <v>2</v>
      </c>
      <c r="Y41" s="68"/>
      <c r="Z41" s="68"/>
      <c r="AA41" s="68"/>
      <c r="AB41" s="68"/>
      <c r="AC41" s="68"/>
      <c r="AD41" s="68"/>
      <c r="AE41" s="72" t="s">
        <v>42</v>
      </c>
    </row>
    <row r="42" spans="1:44" ht="19.5" thickBot="1">
      <c r="A42" s="82"/>
      <c r="B42" s="83"/>
      <c r="C42" s="73"/>
      <c r="D42" s="74"/>
      <c r="E42" s="74"/>
      <c r="F42" s="75">
        <f t="shared" ref="F42" si="23">SUM(G42:Z42)</f>
        <v>4</v>
      </c>
      <c r="G42" s="80"/>
      <c r="H42" s="81"/>
      <c r="I42" s="80"/>
      <c r="J42" s="73"/>
      <c r="K42" s="80"/>
      <c r="L42" s="81"/>
      <c r="M42" s="81"/>
      <c r="N42" s="81"/>
      <c r="O42" s="81"/>
      <c r="P42" s="81"/>
      <c r="Q42" s="80"/>
      <c r="R42" s="80"/>
      <c r="S42" s="81"/>
      <c r="T42" s="81"/>
      <c r="U42" s="81"/>
      <c r="V42" s="81"/>
      <c r="W42" s="81"/>
      <c r="X42" s="81"/>
      <c r="Y42" s="81">
        <v>2</v>
      </c>
      <c r="Z42" s="81">
        <v>2</v>
      </c>
      <c r="AA42" s="81"/>
      <c r="AB42" s="81"/>
      <c r="AC42" s="81"/>
      <c r="AD42" s="81"/>
      <c r="AE42" s="75">
        <v>9</v>
      </c>
    </row>
    <row r="43" spans="1:44" ht="37.5">
      <c r="A43" s="76">
        <v>15</v>
      </c>
      <c r="B43" s="77" t="s">
        <v>43</v>
      </c>
      <c r="C43" s="62">
        <f t="shared" ref="C43" si="24">SUM(D43:F45)</f>
        <v>58</v>
      </c>
      <c r="D43" s="63">
        <f t="shared" ref="D43" si="25">SUM(G43:Z43)</f>
        <v>0</v>
      </c>
      <c r="E43" s="63"/>
      <c r="F43" s="64"/>
      <c r="G43" s="65"/>
      <c r="H43" s="66"/>
      <c r="I43" s="66"/>
      <c r="J43" s="65"/>
      <c r="K43" s="62"/>
      <c r="L43" s="63"/>
      <c r="M43" s="63"/>
      <c r="N43" s="63"/>
      <c r="O43" s="63"/>
      <c r="P43" s="63"/>
      <c r="Q43" s="62"/>
      <c r="R43" s="62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4" t="s">
        <v>31</v>
      </c>
    </row>
    <row r="44" spans="1:44">
      <c r="A44" s="78"/>
      <c r="B44" s="79"/>
      <c r="C44" s="67"/>
      <c r="D44" s="68"/>
      <c r="E44" s="68">
        <f t="shared" ref="E44" si="26">SUM(G44:Z44)</f>
        <v>58</v>
      </c>
      <c r="F44" s="69"/>
      <c r="G44" s="91">
        <v>2</v>
      </c>
      <c r="H44" s="68">
        <v>4</v>
      </c>
      <c r="I44" s="67">
        <v>2</v>
      </c>
      <c r="J44" s="68">
        <v>4</v>
      </c>
      <c r="K44" s="67">
        <v>2</v>
      </c>
      <c r="L44" s="68">
        <v>4</v>
      </c>
      <c r="M44" s="68">
        <v>2</v>
      </c>
      <c r="N44" s="68">
        <v>4</v>
      </c>
      <c r="O44" s="68">
        <v>2</v>
      </c>
      <c r="P44" s="68">
        <v>4</v>
      </c>
      <c r="Q44" s="67">
        <v>2</v>
      </c>
      <c r="R44" s="67">
        <v>4</v>
      </c>
      <c r="S44" s="68">
        <v>2</v>
      </c>
      <c r="T44" s="68">
        <v>4</v>
      </c>
      <c r="U44" s="68">
        <v>2</v>
      </c>
      <c r="V44" s="68">
        <v>4</v>
      </c>
      <c r="W44" s="68">
        <v>2</v>
      </c>
      <c r="X44" s="68">
        <v>4</v>
      </c>
      <c r="Y44" s="68">
        <v>2</v>
      </c>
      <c r="Z44" s="68">
        <v>2</v>
      </c>
      <c r="AA44" s="68"/>
      <c r="AB44" s="68"/>
      <c r="AC44" s="68"/>
      <c r="AD44" s="68"/>
      <c r="AE44" s="72"/>
    </row>
    <row r="45" spans="1:44" ht="19.5" thickBot="1">
      <c r="A45" s="82"/>
      <c r="B45" s="83"/>
      <c r="C45" s="73"/>
      <c r="D45" s="74"/>
      <c r="E45" s="74"/>
      <c r="F45" s="75">
        <f t="shared" ref="F45" si="27">SUM(G45:Z45)</f>
        <v>0</v>
      </c>
      <c r="G45" s="80"/>
      <c r="H45" s="81"/>
      <c r="I45" s="80"/>
      <c r="J45" s="73"/>
      <c r="K45" s="80"/>
      <c r="L45" s="81"/>
      <c r="M45" s="81"/>
      <c r="N45" s="81"/>
      <c r="O45" s="81"/>
      <c r="P45" s="81"/>
      <c r="Q45" s="80"/>
      <c r="R45" s="80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75"/>
    </row>
    <row r="46" spans="1:44" s="4" customFormat="1" ht="19.5" thickBot="1">
      <c r="A46" s="176" t="s">
        <v>29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M46" s="11"/>
      <c r="AN46" s="11"/>
      <c r="AO46" s="11"/>
      <c r="AP46" s="11"/>
      <c r="AQ46" s="11"/>
      <c r="AR46" s="11"/>
    </row>
    <row r="47" spans="1:44" s="4" customFormat="1" ht="27.75" customHeight="1" thickBot="1">
      <c r="A47" s="166" t="s">
        <v>32</v>
      </c>
      <c r="B47" s="166"/>
      <c r="C47" s="166"/>
      <c r="D47" s="166"/>
      <c r="E47" s="166"/>
      <c r="F47" s="166"/>
      <c r="G47" s="166"/>
      <c r="H47" s="166"/>
      <c r="I47" s="166"/>
      <c r="J47" s="166"/>
      <c r="K47" s="167"/>
      <c r="L47" s="167"/>
      <c r="M47" s="167"/>
      <c r="N47" s="167"/>
      <c r="O47" s="167"/>
      <c r="P47" s="167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</row>
    <row r="48" spans="1:44" s="4" customFormat="1" ht="19.5">
      <c r="A48" s="76">
        <v>15</v>
      </c>
      <c r="B48" s="77" t="s">
        <v>21</v>
      </c>
      <c r="C48" s="62">
        <f t="shared" ref="C48" si="28">SUM(D48:F50)</f>
        <v>48</v>
      </c>
      <c r="D48" s="63">
        <f t="shared" ref="D48" si="29">SUM(G48:AD48)</f>
        <v>24</v>
      </c>
      <c r="E48" s="63"/>
      <c r="F48" s="64"/>
      <c r="G48" s="62">
        <v>2</v>
      </c>
      <c r="H48" s="62">
        <v>2</v>
      </c>
      <c r="I48" s="62">
        <v>2</v>
      </c>
      <c r="J48" s="62">
        <v>2</v>
      </c>
      <c r="K48" s="62">
        <v>2</v>
      </c>
      <c r="L48" s="62">
        <v>2</v>
      </c>
      <c r="M48" s="62">
        <v>2</v>
      </c>
      <c r="N48" s="62">
        <v>2</v>
      </c>
      <c r="O48" s="62">
        <v>2</v>
      </c>
      <c r="P48" s="62">
        <v>2</v>
      </c>
      <c r="Q48" s="62">
        <v>2</v>
      </c>
      <c r="R48" s="62">
        <v>2</v>
      </c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4" t="s">
        <v>31</v>
      </c>
      <c r="AM48" s="11"/>
      <c r="AN48" s="11"/>
      <c r="AO48" s="11"/>
      <c r="AP48" s="11"/>
      <c r="AQ48" s="11"/>
      <c r="AR48" s="11"/>
    </row>
    <row r="49" spans="1:44" s="4" customFormat="1">
      <c r="A49" s="78"/>
      <c r="B49" s="79"/>
      <c r="C49" s="67"/>
      <c r="D49" s="68"/>
      <c r="E49" s="68">
        <f t="shared" ref="E49" si="30">SUM(G49:AD49)</f>
        <v>24</v>
      </c>
      <c r="F49" s="69"/>
      <c r="G49" s="67">
        <v>2</v>
      </c>
      <c r="H49" s="67">
        <v>2</v>
      </c>
      <c r="I49" s="67">
        <v>2</v>
      </c>
      <c r="J49" s="67">
        <v>2</v>
      </c>
      <c r="K49" s="67">
        <v>2</v>
      </c>
      <c r="L49" s="67">
        <v>2</v>
      </c>
      <c r="M49" s="67">
        <v>2</v>
      </c>
      <c r="N49" s="67">
        <v>2</v>
      </c>
      <c r="O49" s="67">
        <v>2</v>
      </c>
      <c r="P49" s="67">
        <v>2</v>
      </c>
      <c r="Q49" s="67">
        <v>2</v>
      </c>
      <c r="R49" s="67">
        <v>2</v>
      </c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72"/>
      <c r="AM49" s="12"/>
      <c r="AN49" s="89"/>
      <c r="AO49" s="165"/>
      <c r="AP49" s="165"/>
      <c r="AQ49" s="11"/>
      <c r="AR49" s="11"/>
    </row>
    <row r="50" spans="1:44" s="4" customFormat="1" ht="19.5" thickBot="1">
      <c r="A50" s="82"/>
      <c r="B50" s="83"/>
      <c r="C50" s="73"/>
      <c r="D50" s="74"/>
      <c r="E50" s="74"/>
      <c r="F50" s="75">
        <f t="shared" ref="F50" si="31">SUM(G50:AD50)</f>
        <v>0</v>
      </c>
      <c r="G50" s="73"/>
      <c r="H50" s="74"/>
      <c r="I50" s="74"/>
      <c r="J50" s="73"/>
      <c r="K50" s="80"/>
      <c r="L50" s="81"/>
      <c r="M50" s="81"/>
      <c r="N50" s="81"/>
      <c r="O50" s="81"/>
      <c r="P50" s="81"/>
      <c r="Q50" s="80"/>
      <c r="R50" s="80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75">
        <v>9</v>
      </c>
      <c r="AM50" s="12"/>
      <c r="AN50" s="89"/>
      <c r="AO50" s="165"/>
      <c r="AP50" s="165"/>
      <c r="AQ50" s="11"/>
      <c r="AR50" s="11"/>
    </row>
    <row r="51" spans="1:44" s="4" customFormat="1" ht="24.75" customHeight="1" thickBot="1">
      <c r="A51" s="166" t="s">
        <v>33</v>
      </c>
      <c r="B51" s="166"/>
      <c r="C51" s="166"/>
      <c r="D51" s="166"/>
      <c r="E51" s="166"/>
      <c r="F51" s="166"/>
      <c r="G51" s="166"/>
      <c r="H51" s="166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67"/>
      <c r="U51" s="166"/>
      <c r="V51" s="166"/>
      <c r="W51" s="166"/>
      <c r="X51" s="166"/>
      <c r="Y51" s="166"/>
      <c r="Z51" s="166"/>
      <c r="AA51" s="166"/>
      <c r="AB51" s="166"/>
      <c r="AC51" s="166"/>
      <c r="AD51" s="166"/>
      <c r="AE51" s="166"/>
    </row>
    <row r="52" spans="1:44" s="4" customFormat="1" ht="19.5">
      <c r="A52" s="76">
        <v>15</v>
      </c>
      <c r="B52" s="77" t="s">
        <v>21</v>
      </c>
      <c r="C52" s="62">
        <f t="shared" ref="C52" si="32">SUM(D52:F54)</f>
        <v>48</v>
      </c>
      <c r="D52" s="63">
        <f t="shared" ref="D52" si="33">SUM(G52:AD52)</f>
        <v>24</v>
      </c>
      <c r="E52" s="63"/>
      <c r="F52" s="64"/>
      <c r="G52" s="62">
        <v>4</v>
      </c>
      <c r="H52" s="139">
        <v>2</v>
      </c>
      <c r="I52" s="168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70"/>
      <c r="U52" s="62">
        <v>4</v>
      </c>
      <c r="V52" s="63">
        <v>2</v>
      </c>
      <c r="W52" s="63">
        <v>2</v>
      </c>
      <c r="X52" s="63">
        <v>2</v>
      </c>
      <c r="Y52" s="63">
        <v>2</v>
      </c>
      <c r="Z52" s="63">
        <v>2</v>
      </c>
      <c r="AA52" s="63">
        <v>2</v>
      </c>
      <c r="AB52" s="64">
        <v>2</v>
      </c>
      <c r="AC52" s="62"/>
      <c r="AD52" s="63"/>
      <c r="AE52" s="64" t="s">
        <v>31</v>
      </c>
      <c r="AM52" s="11"/>
      <c r="AN52" s="11"/>
      <c r="AO52" s="11"/>
      <c r="AP52" s="11"/>
      <c r="AQ52" s="11"/>
      <c r="AR52" s="11"/>
    </row>
    <row r="53" spans="1:44" s="4" customFormat="1">
      <c r="A53" s="78"/>
      <c r="B53" s="79"/>
      <c r="C53" s="67"/>
      <c r="D53" s="68"/>
      <c r="E53" s="68">
        <f t="shared" ref="E53" si="34">SUM(G53:AD53)</f>
        <v>24</v>
      </c>
      <c r="F53" s="69"/>
      <c r="G53" s="67">
        <v>2</v>
      </c>
      <c r="H53" s="84">
        <v>4</v>
      </c>
      <c r="I53" s="171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72"/>
      <c r="U53" s="67">
        <v>2</v>
      </c>
      <c r="V53" s="68">
        <v>4</v>
      </c>
      <c r="W53" s="68">
        <v>2</v>
      </c>
      <c r="X53" s="68">
        <v>2</v>
      </c>
      <c r="Y53" s="68">
        <v>2</v>
      </c>
      <c r="Z53" s="68">
        <v>2</v>
      </c>
      <c r="AA53" s="68">
        <v>2</v>
      </c>
      <c r="AB53" s="69">
        <v>2</v>
      </c>
      <c r="AC53" s="67"/>
      <c r="AD53" s="68"/>
      <c r="AE53" s="72"/>
      <c r="AM53" s="12"/>
      <c r="AN53" s="89"/>
      <c r="AO53" s="165"/>
      <c r="AP53" s="165"/>
      <c r="AQ53" s="11"/>
      <c r="AR53" s="11"/>
    </row>
    <row r="54" spans="1:44" s="4" customFormat="1" ht="19.5" thickBot="1">
      <c r="A54" s="82"/>
      <c r="B54" s="95"/>
      <c r="C54" s="96"/>
      <c r="D54" s="97"/>
      <c r="E54" s="97"/>
      <c r="F54" s="98">
        <f t="shared" ref="F54" si="35">SUM(G54:AD54)</f>
        <v>0</v>
      </c>
      <c r="G54" s="96"/>
      <c r="H54" s="99"/>
      <c r="I54" s="171"/>
      <c r="J54" s="167"/>
      <c r="K54" s="167"/>
      <c r="L54" s="167"/>
      <c r="M54" s="167"/>
      <c r="N54" s="167"/>
      <c r="O54" s="167"/>
      <c r="P54" s="167"/>
      <c r="Q54" s="167"/>
      <c r="R54" s="167"/>
      <c r="S54" s="167"/>
      <c r="T54" s="172"/>
      <c r="U54" s="91"/>
      <c r="V54" s="140"/>
      <c r="W54" s="140"/>
      <c r="X54" s="140"/>
      <c r="Y54" s="140"/>
      <c r="Z54" s="140"/>
      <c r="AA54" s="140"/>
      <c r="AB54" s="92"/>
      <c r="AC54" s="91"/>
      <c r="AD54" s="140"/>
      <c r="AE54" s="98">
        <v>9</v>
      </c>
      <c r="AM54" s="12"/>
      <c r="AN54" s="89"/>
      <c r="AO54" s="165"/>
      <c r="AP54" s="165"/>
      <c r="AQ54" s="11"/>
      <c r="AR54" s="11"/>
    </row>
    <row r="55" spans="1:44" s="4" customFormat="1" ht="26.25" customHeight="1" thickBot="1">
      <c r="A55" s="174" t="s">
        <v>28</v>
      </c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  <c r="P55" s="174"/>
      <c r="Q55" s="174"/>
      <c r="R55" s="174"/>
      <c r="S55" s="174"/>
      <c r="T55" s="174"/>
      <c r="U55" s="174"/>
      <c r="V55" s="174"/>
      <c r="W55" s="174"/>
      <c r="X55" s="174"/>
      <c r="Y55" s="174"/>
      <c r="Z55" s="174"/>
      <c r="AA55" s="174"/>
      <c r="AB55" s="174"/>
      <c r="AC55" s="174"/>
      <c r="AD55" s="174"/>
      <c r="AE55" s="174"/>
    </row>
    <row r="56" spans="1:44" s="4" customFormat="1" ht="37.5">
      <c r="A56" s="76">
        <v>15</v>
      </c>
      <c r="B56" s="77" t="s">
        <v>30</v>
      </c>
      <c r="C56" s="62">
        <f t="shared" ref="C56" si="36">SUM(D56:F58)</f>
        <v>60</v>
      </c>
      <c r="D56" s="63">
        <f t="shared" ref="D56" si="37">SUM(G56:M56,Z56:AC56)</f>
        <v>24</v>
      </c>
      <c r="E56" s="63"/>
      <c r="F56" s="64"/>
      <c r="G56" s="65">
        <v>4</v>
      </c>
      <c r="H56" s="66"/>
      <c r="I56" s="66">
        <v>4</v>
      </c>
      <c r="J56" s="65"/>
      <c r="K56" s="62">
        <v>4</v>
      </c>
      <c r="L56" s="126"/>
      <c r="M56" s="127">
        <v>4</v>
      </c>
      <c r="N56" s="168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70"/>
      <c r="Z56" s="62">
        <v>4</v>
      </c>
      <c r="AA56" s="63"/>
      <c r="AB56" s="63">
        <v>4</v>
      </c>
      <c r="AC56" s="64"/>
      <c r="AD56" s="62"/>
      <c r="AE56" s="64" t="s">
        <v>31</v>
      </c>
      <c r="AM56" s="11"/>
      <c r="AN56" s="11"/>
      <c r="AO56" s="11"/>
      <c r="AP56" s="11"/>
      <c r="AQ56" s="11"/>
      <c r="AR56" s="11"/>
    </row>
    <row r="57" spans="1:44" s="4" customFormat="1">
      <c r="A57" s="78"/>
      <c r="B57" s="79"/>
      <c r="C57" s="67"/>
      <c r="D57" s="68"/>
      <c r="E57" s="68">
        <f t="shared" ref="E57" si="38">SUM(G57:M57,Z57:AC57)</f>
        <v>36</v>
      </c>
      <c r="F57" s="69"/>
      <c r="G57" s="67">
        <v>4</v>
      </c>
      <c r="H57" s="67">
        <v>2</v>
      </c>
      <c r="I57" s="67">
        <v>4</v>
      </c>
      <c r="J57" s="67">
        <v>2</v>
      </c>
      <c r="K57" s="67">
        <v>4</v>
      </c>
      <c r="L57" s="67">
        <v>2</v>
      </c>
      <c r="M57" s="84">
        <v>4</v>
      </c>
      <c r="N57" s="171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72"/>
      <c r="Z57" s="67">
        <v>4</v>
      </c>
      <c r="AA57" s="67">
        <v>2</v>
      </c>
      <c r="AB57" s="67">
        <v>4</v>
      </c>
      <c r="AC57" s="69">
        <v>4</v>
      </c>
      <c r="AD57" s="67"/>
      <c r="AE57" s="72"/>
      <c r="AM57" s="12"/>
      <c r="AN57" s="89"/>
      <c r="AO57" s="165"/>
      <c r="AP57" s="165"/>
      <c r="AQ57" s="11"/>
      <c r="AR57" s="11"/>
    </row>
    <row r="58" spans="1:44" s="4" customFormat="1" ht="19.5" thickBot="1">
      <c r="A58" s="82"/>
      <c r="B58" s="83"/>
      <c r="C58" s="73"/>
      <c r="D58" s="74"/>
      <c r="E58" s="74"/>
      <c r="F58" s="75">
        <f t="shared" ref="F58" si="39">SUM(G58:M58,Z58:AC58)</f>
        <v>0</v>
      </c>
      <c r="G58" s="73"/>
      <c r="H58" s="74"/>
      <c r="I58" s="74"/>
      <c r="J58" s="73"/>
      <c r="K58" s="73"/>
      <c r="L58" s="125"/>
      <c r="M58" s="125"/>
      <c r="N58" s="177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9"/>
      <c r="Z58" s="80"/>
      <c r="AA58" s="81"/>
      <c r="AB58" s="81"/>
      <c r="AC58" s="85"/>
      <c r="AD58" s="80"/>
      <c r="AE58" s="75">
        <v>9</v>
      </c>
      <c r="AM58" s="12"/>
      <c r="AN58" s="89"/>
      <c r="AO58" s="165"/>
      <c r="AP58" s="165"/>
      <c r="AQ58" s="11"/>
      <c r="AR58" s="11"/>
    </row>
    <row r="59" spans="1:44" s="4" customFormat="1" ht="19.5" thickBot="1">
      <c r="A59" s="166" t="s">
        <v>46</v>
      </c>
      <c r="B59" s="166"/>
      <c r="C59" s="166"/>
      <c r="D59" s="166"/>
      <c r="E59" s="166"/>
      <c r="F59" s="166"/>
      <c r="G59" s="166"/>
      <c r="H59" s="166"/>
      <c r="I59" s="166"/>
      <c r="J59" s="166"/>
      <c r="K59" s="167"/>
      <c r="L59" s="167"/>
      <c r="M59" s="167"/>
      <c r="N59" s="167"/>
      <c r="O59" s="167"/>
      <c r="P59" s="167"/>
      <c r="Q59" s="166"/>
      <c r="R59" s="166"/>
      <c r="S59" s="166"/>
      <c r="T59" s="166"/>
      <c r="U59" s="166"/>
      <c r="V59" s="166"/>
      <c r="W59" s="166"/>
      <c r="X59" s="166"/>
      <c r="Y59" s="166"/>
      <c r="Z59" s="166"/>
      <c r="AA59" s="166"/>
      <c r="AB59" s="166"/>
      <c r="AC59" s="166"/>
      <c r="AD59" s="166"/>
      <c r="AE59" s="166"/>
      <c r="AM59" s="12"/>
      <c r="AN59" s="89"/>
      <c r="AO59" s="164"/>
      <c r="AP59" s="164"/>
      <c r="AQ59" s="11"/>
      <c r="AR59" s="11"/>
    </row>
    <row r="60" spans="1:44" ht="37.5">
      <c r="A60" s="76">
        <v>15</v>
      </c>
      <c r="B60" s="77" t="s">
        <v>45</v>
      </c>
      <c r="C60" s="62">
        <f t="shared" ref="C60" si="40">SUM(D60:F62)</f>
        <v>108</v>
      </c>
      <c r="D60" s="63">
        <f t="shared" ref="D60" si="41">SUM(G60:X60)</f>
        <v>54</v>
      </c>
      <c r="E60" s="63"/>
      <c r="F60" s="64"/>
      <c r="G60" s="65">
        <v>4</v>
      </c>
      <c r="H60" s="65">
        <v>2</v>
      </c>
      <c r="I60" s="65">
        <v>4</v>
      </c>
      <c r="J60" s="65">
        <v>2</v>
      </c>
      <c r="K60" s="65">
        <v>4</v>
      </c>
      <c r="L60" s="65">
        <v>2</v>
      </c>
      <c r="M60" s="65">
        <v>4</v>
      </c>
      <c r="N60" s="65">
        <v>2</v>
      </c>
      <c r="O60" s="65">
        <v>4</v>
      </c>
      <c r="P60" s="65">
        <v>2</v>
      </c>
      <c r="Q60" s="65">
        <v>4</v>
      </c>
      <c r="R60" s="65">
        <v>2</v>
      </c>
      <c r="S60" s="65">
        <v>4</v>
      </c>
      <c r="T60" s="65">
        <v>2</v>
      </c>
      <c r="U60" s="65">
        <v>4</v>
      </c>
      <c r="V60" s="65">
        <v>2</v>
      </c>
      <c r="W60" s="65">
        <v>4</v>
      </c>
      <c r="X60" s="65">
        <v>2</v>
      </c>
      <c r="Y60" s="63"/>
      <c r="Z60" s="63"/>
      <c r="AA60" s="63"/>
      <c r="AB60" s="63"/>
      <c r="AC60" s="63"/>
      <c r="AD60" s="63"/>
      <c r="AE60" s="64" t="s">
        <v>31</v>
      </c>
    </row>
    <row r="61" spans="1:44">
      <c r="A61" s="78"/>
      <c r="B61" s="79"/>
      <c r="C61" s="67"/>
      <c r="D61" s="68"/>
      <c r="E61" s="68">
        <f t="shared" ref="E61" si="42">SUM(G61:X61)</f>
        <v>54</v>
      </c>
      <c r="F61" s="69"/>
      <c r="G61" s="91">
        <v>2</v>
      </c>
      <c r="H61" s="91">
        <v>4</v>
      </c>
      <c r="I61" s="91">
        <v>2</v>
      </c>
      <c r="J61" s="91">
        <v>4</v>
      </c>
      <c r="K61" s="91">
        <v>2</v>
      </c>
      <c r="L61" s="91">
        <v>4</v>
      </c>
      <c r="M61" s="91">
        <v>2</v>
      </c>
      <c r="N61" s="91">
        <v>4</v>
      </c>
      <c r="O61" s="91">
        <v>2</v>
      </c>
      <c r="P61" s="91">
        <v>4</v>
      </c>
      <c r="Q61" s="91">
        <v>2</v>
      </c>
      <c r="R61" s="91">
        <v>4</v>
      </c>
      <c r="S61" s="91">
        <v>2</v>
      </c>
      <c r="T61" s="91">
        <v>4</v>
      </c>
      <c r="U61" s="91">
        <v>2</v>
      </c>
      <c r="V61" s="91">
        <v>4</v>
      </c>
      <c r="W61" s="91">
        <v>2</v>
      </c>
      <c r="X61" s="91">
        <v>4</v>
      </c>
      <c r="Y61" s="68"/>
      <c r="Z61" s="68"/>
      <c r="AA61" s="68"/>
      <c r="AB61" s="68"/>
      <c r="AC61" s="68"/>
      <c r="AD61" s="68"/>
      <c r="AE61" s="72"/>
    </row>
    <row r="62" spans="1:44" ht="19.5" thickBot="1">
      <c r="A62" s="82"/>
      <c r="B62" s="83"/>
      <c r="C62" s="73"/>
      <c r="D62" s="74"/>
      <c r="E62" s="74"/>
      <c r="F62" s="75">
        <f t="shared" ref="F62" si="43">SUM(G62:X62)</f>
        <v>0</v>
      </c>
      <c r="G62" s="80"/>
      <c r="H62" s="81"/>
      <c r="I62" s="80"/>
      <c r="J62" s="73"/>
      <c r="K62" s="80"/>
      <c r="L62" s="81"/>
      <c r="M62" s="81"/>
      <c r="N62" s="81"/>
      <c r="O62" s="81"/>
      <c r="P62" s="81"/>
      <c r="Q62" s="80"/>
      <c r="R62" s="80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75">
        <v>18</v>
      </c>
    </row>
    <row r="63" spans="1:44" s="4" customFormat="1" ht="45" customHeight="1" thickBot="1">
      <c r="A63" s="176" t="s">
        <v>35</v>
      </c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76"/>
      <c r="AA63" s="176"/>
      <c r="AB63" s="176"/>
      <c r="AC63" s="176"/>
      <c r="AD63" s="176"/>
      <c r="AE63" s="176"/>
      <c r="AM63" s="12"/>
      <c r="AN63" s="89"/>
      <c r="AO63" s="165"/>
      <c r="AP63" s="165"/>
      <c r="AQ63" s="11"/>
      <c r="AR63" s="11"/>
    </row>
    <row r="64" spans="1:44" s="4" customFormat="1" ht="32.25" customHeight="1" thickBot="1">
      <c r="A64" s="166" t="s">
        <v>38</v>
      </c>
      <c r="B64" s="166"/>
      <c r="C64" s="166"/>
      <c r="D64" s="166"/>
      <c r="E64" s="166"/>
      <c r="F64" s="166"/>
      <c r="G64" s="166"/>
      <c r="H64" s="166"/>
      <c r="I64" s="166"/>
      <c r="J64" s="166"/>
      <c r="K64" s="167"/>
      <c r="L64" s="167"/>
      <c r="M64" s="167"/>
      <c r="N64" s="167"/>
      <c r="O64" s="167"/>
      <c r="P64" s="167"/>
      <c r="Q64" s="166"/>
      <c r="R64" s="166"/>
      <c r="S64" s="166"/>
      <c r="T64" s="166"/>
      <c r="U64" s="166"/>
      <c r="V64" s="166"/>
      <c r="W64" s="166"/>
      <c r="X64" s="166"/>
      <c r="Y64" s="166"/>
      <c r="Z64" s="166"/>
      <c r="AA64" s="166"/>
      <c r="AB64" s="166"/>
      <c r="AC64" s="166"/>
      <c r="AD64" s="166"/>
      <c r="AE64" s="166"/>
    </row>
    <row r="65" spans="1:44" s="4" customFormat="1" ht="37.5">
      <c r="A65" s="142">
        <v>15</v>
      </c>
      <c r="B65" s="143" t="s">
        <v>36</v>
      </c>
      <c r="C65" s="102">
        <f>SUM(D65:F67)</f>
        <v>80</v>
      </c>
      <c r="D65" s="103">
        <f>SUM(G65:J65,O65:Q65)</f>
        <v>40</v>
      </c>
      <c r="E65" s="103"/>
      <c r="F65" s="104"/>
      <c r="G65" s="102">
        <v>4</v>
      </c>
      <c r="H65" s="103">
        <v>6</v>
      </c>
      <c r="I65" s="103">
        <v>6</v>
      </c>
      <c r="J65" s="144">
        <v>6</v>
      </c>
      <c r="K65" s="168"/>
      <c r="L65" s="169"/>
      <c r="M65" s="169"/>
      <c r="N65" s="170"/>
      <c r="O65" s="102">
        <v>6</v>
      </c>
      <c r="P65" s="103">
        <v>6</v>
      </c>
      <c r="Q65" s="104">
        <v>6</v>
      </c>
      <c r="R65" s="102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4" t="s">
        <v>31</v>
      </c>
    </row>
    <row r="66" spans="1:44" s="4" customFormat="1" ht="19.5">
      <c r="A66" s="145"/>
      <c r="B66" s="146"/>
      <c r="C66" s="112"/>
      <c r="D66" s="113"/>
      <c r="E66" s="113">
        <f>SUM(G66:J66,O66:Q66)</f>
        <v>40</v>
      </c>
      <c r="F66" s="114"/>
      <c r="G66" s="112">
        <v>4</v>
      </c>
      <c r="H66" s="113">
        <v>6</v>
      </c>
      <c r="I66" s="113">
        <v>6</v>
      </c>
      <c r="J66" s="147">
        <v>6</v>
      </c>
      <c r="K66" s="171"/>
      <c r="L66" s="167"/>
      <c r="M66" s="167"/>
      <c r="N66" s="172"/>
      <c r="O66" s="112">
        <v>6</v>
      </c>
      <c r="P66" s="113">
        <v>6</v>
      </c>
      <c r="Q66" s="114">
        <v>6</v>
      </c>
      <c r="R66" s="112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113"/>
      <c r="AE66" s="118"/>
    </row>
    <row r="67" spans="1:44" s="4" customFormat="1" ht="21.75" customHeight="1" thickBot="1">
      <c r="A67" s="148"/>
      <c r="B67" s="149"/>
      <c r="C67" s="150"/>
      <c r="D67" s="151"/>
      <c r="E67" s="151"/>
      <c r="F67" s="153">
        <f>SUM(G67:J67,O67:Q67)</f>
        <v>0</v>
      </c>
      <c r="G67" s="150"/>
      <c r="H67" s="151"/>
      <c r="I67" s="151"/>
      <c r="J67" s="152"/>
      <c r="K67" s="177"/>
      <c r="L67" s="178"/>
      <c r="M67" s="178"/>
      <c r="N67" s="179"/>
      <c r="O67" s="150"/>
      <c r="P67" s="151"/>
      <c r="Q67" s="153"/>
      <c r="R67" s="150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3">
        <v>9</v>
      </c>
      <c r="AM67" s="11"/>
      <c r="AN67" s="11"/>
      <c r="AO67" s="11"/>
      <c r="AP67" s="11"/>
      <c r="AQ67" s="11"/>
      <c r="AR67" s="11"/>
    </row>
    <row r="68" spans="1:44" s="4" customFormat="1" ht="24" customHeight="1" thickBot="1">
      <c r="A68" s="173" t="s">
        <v>37</v>
      </c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4"/>
      <c r="V68" s="174"/>
      <c r="W68" s="174"/>
      <c r="X68" s="174"/>
      <c r="Y68" s="174"/>
      <c r="Z68" s="174"/>
      <c r="AA68" s="174"/>
      <c r="AB68" s="174"/>
      <c r="AC68" s="174"/>
      <c r="AD68" s="174"/>
      <c r="AE68" s="175"/>
    </row>
    <row r="69" spans="1:44" s="4" customFormat="1" ht="37.5">
      <c r="A69" s="142">
        <v>15</v>
      </c>
      <c r="B69" s="143" t="s">
        <v>36</v>
      </c>
      <c r="C69" s="102">
        <f t="shared" ref="C69" si="44">SUM(D69:F71)</f>
        <v>80</v>
      </c>
      <c r="D69" s="103">
        <f t="shared" ref="D69" si="45">SUM(G69:H69,M69:Q69)</f>
        <v>40</v>
      </c>
      <c r="E69" s="103"/>
      <c r="F69" s="104"/>
      <c r="G69" s="161">
        <v>4</v>
      </c>
      <c r="H69" s="157">
        <v>6</v>
      </c>
      <c r="I69" s="168"/>
      <c r="J69" s="169"/>
      <c r="K69" s="169"/>
      <c r="L69" s="170"/>
      <c r="M69" s="103">
        <v>6</v>
      </c>
      <c r="N69" s="103">
        <v>6</v>
      </c>
      <c r="O69" s="103">
        <v>6</v>
      </c>
      <c r="P69" s="103">
        <v>6</v>
      </c>
      <c r="Q69" s="104">
        <v>6</v>
      </c>
      <c r="R69" s="102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4" t="s">
        <v>31</v>
      </c>
    </row>
    <row r="70" spans="1:44" s="4" customFormat="1" ht="19.5">
      <c r="A70" s="145"/>
      <c r="B70" s="146"/>
      <c r="C70" s="112"/>
      <c r="D70" s="113"/>
      <c r="E70" s="113">
        <f t="shared" ref="E70" si="46">SUM(G70:H70,M70:Q70)</f>
        <v>40</v>
      </c>
      <c r="F70" s="114"/>
      <c r="G70" s="158">
        <v>4</v>
      </c>
      <c r="H70" s="157">
        <v>6</v>
      </c>
      <c r="I70" s="171"/>
      <c r="J70" s="167"/>
      <c r="K70" s="167"/>
      <c r="L70" s="172"/>
      <c r="M70" s="113">
        <v>6</v>
      </c>
      <c r="N70" s="113">
        <v>6</v>
      </c>
      <c r="O70" s="113">
        <v>6</v>
      </c>
      <c r="P70" s="113">
        <v>6</v>
      </c>
      <c r="Q70" s="114">
        <v>6</v>
      </c>
      <c r="R70" s="112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8"/>
    </row>
    <row r="71" spans="1:44" s="4" customFormat="1" ht="21.75" customHeight="1" thickBot="1">
      <c r="A71" s="148"/>
      <c r="B71" s="149"/>
      <c r="C71" s="150"/>
      <c r="D71" s="151"/>
      <c r="E71" s="151"/>
      <c r="F71" s="153">
        <f t="shared" ref="F71" si="47">SUM(G71:H71,M71:Q71)</f>
        <v>0</v>
      </c>
      <c r="G71" s="159"/>
      <c r="H71" s="160"/>
      <c r="I71" s="177"/>
      <c r="J71" s="178"/>
      <c r="K71" s="178"/>
      <c r="L71" s="179"/>
      <c r="M71" s="150"/>
      <c r="N71" s="151"/>
      <c r="O71" s="151"/>
      <c r="P71" s="151"/>
      <c r="Q71" s="153"/>
      <c r="R71" s="150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3">
        <v>9</v>
      </c>
      <c r="AM71" s="11"/>
      <c r="AN71" s="11"/>
      <c r="AO71" s="11"/>
      <c r="AP71" s="11"/>
      <c r="AQ71" s="11"/>
      <c r="AR71" s="11"/>
    </row>
    <row r="72" spans="1:44" s="4" customFormat="1" ht="24" customHeight="1" thickBot="1">
      <c r="A72" s="174" t="s">
        <v>34</v>
      </c>
      <c r="B72" s="174"/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  <c r="P72" s="174"/>
      <c r="Q72" s="174"/>
      <c r="R72" s="174"/>
      <c r="S72" s="174"/>
      <c r="T72" s="174"/>
      <c r="U72" s="174"/>
      <c r="V72" s="174"/>
      <c r="W72" s="174"/>
      <c r="X72" s="174"/>
      <c r="Y72" s="174"/>
      <c r="Z72" s="174"/>
      <c r="AA72" s="174"/>
      <c r="AB72" s="174"/>
      <c r="AC72" s="174"/>
      <c r="AD72" s="174"/>
      <c r="AE72" s="174"/>
    </row>
    <row r="73" spans="1:44" s="4" customFormat="1" ht="37.5">
      <c r="A73" s="142">
        <v>15</v>
      </c>
      <c r="B73" s="143" t="s">
        <v>36</v>
      </c>
      <c r="C73" s="102">
        <f>SUM(D73:F75)</f>
        <v>80</v>
      </c>
      <c r="D73" s="103">
        <f>SUM(K73:Q73)</f>
        <v>40</v>
      </c>
      <c r="E73" s="103"/>
      <c r="F73" s="144"/>
      <c r="G73" s="154"/>
      <c r="H73" s="180"/>
      <c r="I73" s="181"/>
      <c r="J73" s="182"/>
      <c r="K73" s="102">
        <v>6</v>
      </c>
      <c r="L73" s="103">
        <v>6</v>
      </c>
      <c r="M73" s="103">
        <v>6</v>
      </c>
      <c r="N73" s="103">
        <v>6</v>
      </c>
      <c r="O73" s="103">
        <v>6</v>
      </c>
      <c r="P73" s="103">
        <v>6</v>
      </c>
      <c r="Q73" s="104">
        <v>4</v>
      </c>
      <c r="R73" s="62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4" t="s">
        <v>31</v>
      </c>
    </row>
    <row r="74" spans="1:44" s="4" customFormat="1" ht="19.5">
      <c r="A74" s="145"/>
      <c r="B74" s="146"/>
      <c r="C74" s="112"/>
      <c r="D74" s="113"/>
      <c r="E74" s="113">
        <f>SUM(K74:Q74)</f>
        <v>40</v>
      </c>
      <c r="F74" s="147"/>
      <c r="G74" s="155"/>
      <c r="H74" s="183"/>
      <c r="I74" s="184"/>
      <c r="J74" s="185"/>
      <c r="K74" s="112">
        <v>6</v>
      </c>
      <c r="L74" s="113">
        <v>6</v>
      </c>
      <c r="M74" s="113">
        <v>6</v>
      </c>
      <c r="N74" s="113">
        <v>6</v>
      </c>
      <c r="O74" s="113">
        <v>6</v>
      </c>
      <c r="P74" s="113">
        <v>6</v>
      </c>
      <c r="Q74" s="114">
        <v>4</v>
      </c>
      <c r="R74" s="91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113"/>
      <c r="AE74" s="118"/>
    </row>
    <row r="75" spans="1:44" s="4" customFormat="1" ht="21.75" customHeight="1" thickBot="1">
      <c r="A75" s="148"/>
      <c r="B75" s="149"/>
      <c r="C75" s="150"/>
      <c r="D75" s="151"/>
      <c r="E75" s="151"/>
      <c r="F75" s="152">
        <f>SUM(K75:Q75)</f>
        <v>0</v>
      </c>
      <c r="G75" s="156"/>
      <c r="H75" s="186"/>
      <c r="I75" s="187"/>
      <c r="J75" s="188"/>
      <c r="K75" s="150"/>
      <c r="L75" s="151"/>
      <c r="M75" s="151"/>
      <c r="N75" s="151"/>
      <c r="O75" s="151"/>
      <c r="P75" s="151"/>
      <c r="Q75" s="153"/>
      <c r="R75" s="6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3">
        <v>9</v>
      </c>
      <c r="AM75" s="11"/>
      <c r="AN75" s="11"/>
      <c r="AO75" s="11"/>
      <c r="AP75" s="11"/>
      <c r="AQ75" s="11"/>
      <c r="AR75" s="11"/>
    </row>
    <row r="76" spans="1:44" s="4" customFormat="1" ht="19.5" thickBot="1">
      <c r="A76" s="166" t="s">
        <v>47</v>
      </c>
      <c r="B76" s="166"/>
      <c r="C76" s="166"/>
      <c r="D76" s="166"/>
      <c r="E76" s="166"/>
      <c r="F76" s="166"/>
      <c r="G76" s="166"/>
      <c r="H76" s="166"/>
      <c r="I76" s="166"/>
      <c r="J76" s="166"/>
      <c r="K76" s="167"/>
      <c r="L76" s="167"/>
      <c r="M76" s="167"/>
      <c r="N76" s="167"/>
      <c r="O76" s="167"/>
      <c r="P76" s="167"/>
      <c r="Q76" s="166"/>
      <c r="R76" s="166"/>
      <c r="S76" s="166"/>
      <c r="T76" s="166"/>
      <c r="U76" s="166"/>
      <c r="V76" s="166"/>
      <c r="W76" s="166"/>
      <c r="X76" s="166"/>
      <c r="Y76" s="166"/>
      <c r="Z76" s="166"/>
      <c r="AA76" s="166"/>
      <c r="AB76" s="166"/>
      <c r="AC76" s="166"/>
      <c r="AD76" s="166"/>
      <c r="AE76" s="166"/>
      <c r="AM76" s="11"/>
      <c r="AN76" s="11"/>
      <c r="AO76" s="11"/>
      <c r="AP76" s="11"/>
      <c r="AQ76" s="11"/>
      <c r="AR76" s="11"/>
    </row>
    <row r="77" spans="1:44" s="4" customFormat="1" ht="37.5">
      <c r="A77" s="76">
        <v>15</v>
      </c>
      <c r="B77" s="77" t="s">
        <v>45</v>
      </c>
      <c r="C77" s="62">
        <f t="shared" ref="C77" si="48">SUM(D77:F79)</f>
        <v>72</v>
      </c>
      <c r="D77" s="63">
        <f t="shared" ref="D77" si="49">SUM(G77:AD77)</f>
        <v>36</v>
      </c>
      <c r="E77" s="63"/>
      <c r="F77" s="64"/>
      <c r="G77" s="65">
        <v>2</v>
      </c>
      <c r="H77" s="65">
        <v>2</v>
      </c>
      <c r="I77" s="65">
        <v>2</v>
      </c>
      <c r="J77" s="65">
        <v>2</v>
      </c>
      <c r="K77" s="65">
        <v>2</v>
      </c>
      <c r="L77" s="65">
        <v>2</v>
      </c>
      <c r="M77" s="65">
        <v>2</v>
      </c>
      <c r="N77" s="65">
        <v>2</v>
      </c>
      <c r="O77" s="65">
        <v>2</v>
      </c>
      <c r="P77" s="65">
        <v>2</v>
      </c>
      <c r="Q77" s="65">
        <v>2</v>
      </c>
      <c r="R77" s="65">
        <v>2</v>
      </c>
      <c r="S77" s="65">
        <v>2</v>
      </c>
      <c r="T77" s="65">
        <v>2</v>
      </c>
      <c r="U77" s="65">
        <v>2</v>
      </c>
      <c r="V77" s="65">
        <v>2</v>
      </c>
      <c r="W77" s="65">
        <v>2</v>
      </c>
      <c r="X77" s="65">
        <v>2</v>
      </c>
      <c r="Y77" s="62"/>
      <c r="Z77" s="63"/>
      <c r="AA77" s="63"/>
      <c r="AB77" s="63"/>
      <c r="AC77" s="63"/>
      <c r="AD77" s="63"/>
      <c r="AE77" s="64" t="s">
        <v>22</v>
      </c>
      <c r="AM77" s="11"/>
      <c r="AN77" s="11"/>
      <c r="AO77" s="11"/>
      <c r="AP77" s="11"/>
      <c r="AQ77" s="11"/>
      <c r="AR77" s="11"/>
    </row>
    <row r="78" spans="1:44" s="4" customFormat="1">
      <c r="A78" s="78"/>
      <c r="B78" s="79"/>
      <c r="C78" s="67"/>
      <c r="D78" s="68"/>
      <c r="E78" s="68">
        <f t="shared" ref="E78" si="50">SUM(G78:AD78)</f>
        <v>36</v>
      </c>
      <c r="F78" s="69"/>
      <c r="G78" s="67">
        <v>2</v>
      </c>
      <c r="H78" s="67">
        <v>2</v>
      </c>
      <c r="I78" s="67">
        <v>2</v>
      </c>
      <c r="J78" s="67">
        <v>2</v>
      </c>
      <c r="K78" s="67">
        <v>2</v>
      </c>
      <c r="L78" s="67">
        <v>2</v>
      </c>
      <c r="M78" s="67">
        <v>2</v>
      </c>
      <c r="N78" s="67">
        <v>2</v>
      </c>
      <c r="O78" s="67">
        <v>2</v>
      </c>
      <c r="P78" s="67">
        <v>2</v>
      </c>
      <c r="Q78" s="67">
        <v>2</v>
      </c>
      <c r="R78" s="67">
        <v>2</v>
      </c>
      <c r="S78" s="67">
        <v>2</v>
      </c>
      <c r="T78" s="67">
        <v>2</v>
      </c>
      <c r="U78" s="67">
        <v>2</v>
      </c>
      <c r="V78" s="67">
        <v>2</v>
      </c>
      <c r="W78" s="67">
        <v>2</v>
      </c>
      <c r="X78" s="67">
        <v>2</v>
      </c>
      <c r="Y78" s="67"/>
      <c r="Z78" s="68"/>
      <c r="AA78" s="68"/>
      <c r="AB78" s="68"/>
      <c r="AC78" s="68"/>
      <c r="AD78" s="68"/>
      <c r="AE78" s="72" t="s">
        <v>42</v>
      </c>
      <c r="AM78" s="12"/>
      <c r="AN78" s="89"/>
      <c r="AO78" s="165"/>
      <c r="AP78" s="165"/>
      <c r="AQ78" s="11"/>
      <c r="AR78" s="11"/>
    </row>
    <row r="79" spans="1:44" s="4" customFormat="1" ht="19.5" thickBot="1">
      <c r="A79" s="82"/>
      <c r="B79" s="83"/>
      <c r="C79" s="73"/>
      <c r="D79" s="74"/>
      <c r="E79" s="74"/>
      <c r="F79" s="75">
        <f t="shared" ref="F79" si="51">SUM(G79:AD79)</f>
        <v>0</v>
      </c>
      <c r="G79" s="73"/>
      <c r="H79" s="74"/>
      <c r="I79" s="74"/>
      <c r="J79" s="73"/>
      <c r="K79" s="73"/>
      <c r="L79" s="74"/>
      <c r="M79" s="74"/>
      <c r="N79" s="74"/>
      <c r="O79" s="74"/>
      <c r="P79" s="74"/>
      <c r="Q79" s="73"/>
      <c r="R79" s="73"/>
      <c r="S79" s="74"/>
      <c r="T79" s="74"/>
      <c r="U79" s="74"/>
      <c r="V79" s="74"/>
      <c r="W79" s="74"/>
      <c r="X79" s="74"/>
      <c r="Y79" s="73"/>
      <c r="Z79" s="81"/>
      <c r="AA79" s="81"/>
      <c r="AB79" s="81"/>
      <c r="AC79" s="81"/>
      <c r="AD79" s="81"/>
      <c r="AE79" s="75">
        <v>36</v>
      </c>
      <c r="AM79" s="12"/>
      <c r="AN79" s="89"/>
      <c r="AO79" s="165"/>
      <c r="AP79" s="165"/>
      <c r="AQ79" s="11"/>
      <c r="AR79" s="11"/>
    </row>
  </sheetData>
  <mergeCells count="55"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A3:C3"/>
    <mergeCell ref="A51:AE51"/>
    <mergeCell ref="A46:AE46"/>
    <mergeCell ref="A19:AE19"/>
    <mergeCell ref="L13:AO13"/>
    <mergeCell ref="A14:AE14"/>
    <mergeCell ref="A27:AE27"/>
    <mergeCell ref="A15:AE15"/>
    <mergeCell ref="A28:AE28"/>
    <mergeCell ref="AO30:AP30"/>
    <mergeCell ref="AO34:AP34"/>
    <mergeCell ref="AO35:AP35"/>
    <mergeCell ref="A32:AE32"/>
    <mergeCell ref="A47:AE47"/>
    <mergeCell ref="A23:AE23"/>
    <mergeCell ref="A36:AE36"/>
    <mergeCell ref="AO49:AP49"/>
    <mergeCell ref="AO50:AP50"/>
    <mergeCell ref="U5:X5"/>
    <mergeCell ref="G5:H5"/>
    <mergeCell ref="AE5:AE12"/>
    <mergeCell ref="I69:L71"/>
    <mergeCell ref="AO78:AP78"/>
    <mergeCell ref="AO53:AP53"/>
    <mergeCell ref="AO54:AP54"/>
    <mergeCell ref="I52:T54"/>
    <mergeCell ref="AO57:AP57"/>
    <mergeCell ref="A59:AE59"/>
    <mergeCell ref="AO31:AP31"/>
    <mergeCell ref="M29:Y31"/>
    <mergeCell ref="AO79:AP79"/>
    <mergeCell ref="A76:AE76"/>
    <mergeCell ref="AO63:AP63"/>
    <mergeCell ref="A63:AE63"/>
    <mergeCell ref="A55:AE55"/>
    <mergeCell ref="AO58:AP58"/>
    <mergeCell ref="N56:Y58"/>
    <mergeCell ref="A72:AE72"/>
    <mergeCell ref="H73:J75"/>
    <mergeCell ref="A68:AE68"/>
    <mergeCell ref="A64:AE64"/>
    <mergeCell ref="K65:N67"/>
  </mergeCells>
  <conditionalFormatting sqref="A75">
    <cfRule type="expression" dxfId="44" priority="63" stopIfTrue="1">
      <formula>$DB63=1</formula>
    </cfRule>
  </conditionalFormatting>
  <conditionalFormatting sqref="A75:B75">
    <cfRule type="expression" dxfId="43" priority="61" stopIfTrue="1">
      <formula>$CV63&gt;0</formula>
    </cfRule>
    <cfRule type="expression" dxfId="42" priority="62" stopIfTrue="1">
      <formula>$CU63&gt;0</formula>
    </cfRule>
  </conditionalFormatting>
  <conditionalFormatting sqref="A75">
    <cfRule type="expression" dxfId="41" priority="60" stopIfTrue="1">
      <formula>$DB63=1</formula>
    </cfRule>
  </conditionalFormatting>
  <conditionalFormatting sqref="A75:B75">
    <cfRule type="expression" dxfId="40" priority="58" stopIfTrue="1">
      <formula>$CV63&gt;0</formula>
    </cfRule>
    <cfRule type="expression" dxfId="39" priority="59" stopIfTrue="1">
      <formula>$CU63&gt;0</formula>
    </cfRule>
  </conditionalFormatting>
  <conditionalFormatting sqref="A75">
    <cfRule type="expression" dxfId="38" priority="57" stopIfTrue="1">
      <formula>$DC63=1</formula>
    </cfRule>
  </conditionalFormatting>
  <conditionalFormatting sqref="A75:B75">
    <cfRule type="expression" dxfId="37" priority="55" stopIfTrue="1">
      <formula>$CW63&gt;0</formula>
    </cfRule>
    <cfRule type="expression" dxfId="36" priority="56" stopIfTrue="1">
      <formula>$CV63&gt;0</formula>
    </cfRule>
  </conditionalFormatting>
  <conditionalFormatting sqref="A67">
    <cfRule type="expression" dxfId="35" priority="36" stopIfTrue="1">
      <formula>$DB63=1</formula>
    </cfRule>
  </conditionalFormatting>
  <conditionalFormatting sqref="A67:B67">
    <cfRule type="expression" dxfId="34" priority="34" stopIfTrue="1">
      <formula>$CV63&gt;0</formula>
    </cfRule>
    <cfRule type="expression" dxfId="33" priority="35" stopIfTrue="1">
      <formula>$CU63&gt;0</formula>
    </cfRule>
  </conditionalFormatting>
  <conditionalFormatting sqref="A67">
    <cfRule type="expression" dxfId="32" priority="33" stopIfTrue="1">
      <formula>$DB63=1</formula>
    </cfRule>
  </conditionalFormatting>
  <conditionalFormatting sqref="A67:B67">
    <cfRule type="expression" dxfId="31" priority="31" stopIfTrue="1">
      <formula>$CV63&gt;0</formula>
    </cfRule>
    <cfRule type="expression" dxfId="30" priority="32" stopIfTrue="1">
      <formula>$CU63&gt;0</formula>
    </cfRule>
  </conditionalFormatting>
  <conditionalFormatting sqref="A67">
    <cfRule type="expression" dxfId="29" priority="30" stopIfTrue="1">
      <formula>$DC63=1</formula>
    </cfRule>
  </conditionalFormatting>
  <conditionalFormatting sqref="A67:B67">
    <cfRule type="expression" dxfId="28" priority="28" stopIfTrue="1">
      <formula>$CW63&gt;0</formula>
    </cfRule>
    <cfRule type="expression" dxfId="27" priority="29" stopIfTrue="1">
      <formula>$CV63&gt;0</formula>
    </cfRule>
  </conditionalFormatting>
  <conditionalFormatting sqref="A67">
    <cfRule type="expression" dxfId="26" priority="27" stopIfTrue="1">
      <formula>$DB63=1</formula>
    </cfRule>
  </conditionalFormatting>
  <conditionalFormatting sqref="A67:B67">
    <cfRule type="expression" dxfId="25" priority="25" stopIfTrue="1">
      <formula>$CV63&gt;0</formula>
    </cfRule>
    <cfRule type="expression" dxfId="24" priority="26" stopIfTrue="1">
      <formula>$CU63&gt;0</formula>
    </cfRule>
  </conditionalFormatting>
  <conditionalFormatting sqref="A67">
    <cfRule type="expression" dxfId="23" priority="24" stopIfTrue="1">
      <formula>$DB63=1</formula>
    </cfRule>
  </conditionalFormatting>
  <conditionalFormatting sqref="A67:B67">
    <cfRule type="expression" dxfId="22" priority="22" stopIfTrue="1">
      <formula>$CV63&gt;0</formula>
    </cfRule>
    <cfRule type="expression" dxfId="21" priority="23" stopIfTrue="1">
      <formula>$CU63&gt;0</formula>
    </cfRule>
  </conditionalFormatting>
  <conditionalFormatting sqref="A67">
    <cfRule type="expression" dxfId="20" priority="21" stopIfTrue="1">
      <formula>$DC63=1</formula>
    </cfRule>
  </conditionalFormatting>
  <conditionalFormatting sqref="A67:B67">
    <cfRule type="expression" dxfId="19" priority="19" stopIfTrue="1">
      <formula>$CW63&gt;0</formula>
    </cfRule>
    <cfRule type="expression" dxfId="18" priority="20" stopIfTrue="1">
      <formula>$CV63&gt;0</formula>
    </cfRule>
  </conditionalFormatting>
  <conditionalFormatting sqref="A71">
    <cfRule type="expression" dxfId="17" priority="18" stopIfTrue="1">
      <formula>$DB67=1</formula>
    </cfRule>
  </conditionalFormatting>
  <conditionalFormatting sqref="A71:B71">
    <cfRule type="expression" dxfId="16" priority="16" stopIfTrue="1">
      <formula>$CV67&gt;0</formula>
    </cfRule>
    <cfRule type="expression" dxfId="15" priority="17" stopIfTrue="1">
      <formula>$CU67&gt;0</formula>
    </cfRule>
  </conditionalFormatting>
  <conditionalFormatting sqref="A71">
    <cfRule type="expression" dxfId="14" priority="15" stopIfTrue="1">
      <formula>$DB67=1</formula>
    </cfRule>
  </conditionalFormatting>
  <conditionalFormatting sqref="A71:B71">
    <cfRule type="expression" dxfId="13" priority="13" stopIfTrue="1">
      <formula>$CV67&gt;0</formula>
    </cfRule>
    <cfRule type="expression" dxfId="12" priority="14" stopIfTrue="1">
      <formula>$CU67&gt;0</formula>
    </cfRule>
  </conditionalFormatting>
  <conditionalFormatting sqref="A71">
    <cfRule type="expression" dxfId="11" priority="12" stopIfTrue="1">
      <formula>$DC67=1</formula>
    </cfRule>
  </conditionalFormatting>
  <conditionalFormatting sqref="A71:B71">
    <cfRule type="expression" dxfId="10" priority="10" stopIfTrue="1">
      <formula>$CW67&gt;0</formula>
    </cfRule>
    <cfRule type="expression" dxfId="9" priority="11" stopIfTrue="1">
      <formula>$CV67&gt;0</formula>
    </cfRule>
  </conditionalFormatting>
  <conditionalFormatting sqref="A71">
    <cfRule type="expression" dxfId="8" priority="9" stopIfTrue="1">
      <formula>$DB67=1</formula>
    </cfRule>
  </conditionalFormatting>
  <conditionalFormatting sqref="A71:B71">
    <cfRule type="expression" dxfId="7" priority="7" stopIfTrue="1">
      <formula>$CV67&gt;0</formula>
    </cfRule>
    <cfRule type="expression" dxfId="6" priority="8" stopIfTrue="1">
      <formula>$CU67&gt;0</formula>
    </cfRule>
  </conditionalFormatting>
  <conditionalFormatting sqref="A71">
    <cfRule type="expression" dxfId="5" priority="6" stopIfTrue="1">
      <formula>$DB67=1</formula>
    </cfRule>
  </conditionalFormatting>
  <conditionalFormatting sqref="A71:B71">
    <cfRule type="expression" dxfId="4" priority="4" stopIfTrue="1">
      <formula>$CV67&gt;0</formula>
    </cfRule>
    <cfRule type="expression" dxfId="3" priority="5" stopIfTrue="1">
      <formula>$CU67&gt;0</formula>
    </cfRule>
  </conditionalFormatting>
  <conditionalFormatting sqref="A71">
    <cfRule type="expression" dxfId="2" priority="3" stopIfTrue="1">
      <formula>$DC67=1</formula>
    </cfRule>
  </conditionalFormatting>
  <conditionalFormatting sqref="A71:B71">
    <cfRule type="expression" dxfId="1" priority="1" stopIfTrue="1">
      <formula>$CW67&gt;0</formula>
    </cfRule>
    <cfRule type="expression" dxfId="0" priority="2" stopIfTrue="1">
      <formula>$CV67&gt;0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2021-10-27T11:39:19Z</dcterms:modified>
</cp:coreProperties>
</file>