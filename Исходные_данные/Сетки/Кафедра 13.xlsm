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 refMode="R1C1"/>
</workbook>
</file>

<file path=xl/calcChain.xml><?xml version="1.0" encoding="utf-8"?>
<calcChain xmlns="http://schemas.openxmlformats.org/spreadsheetml/2006/main">
  <c r="F120" i="1"/>
  <c r="C118" s="1"/>
  <c r="E119"/>
  <c r="D118"/>
  <c r="F111"/>
  <c r="E110"/>
  <c r="D109"/>
  <c r="C109" s="1"/>
  <c r="F84"/>
  <c r="E83"/>
  <c r="D82"/>
  <c r="C82" s="1"/>
  <c r="F81"/>
  <c r="E80"/>
  <c r="D79"/>
  <c r="C79" s="1"/>
  <c r="F42"/>
  <c r="E41"/>
  <c r="D40"/>
  <c r="C40" s="1"/>
  <c r="F39"/>
  <c r="E38"/>
  <c r="D37"/>
  <c r="C37" s="1"/>
  <c r="F35"/>
  <c r="E34"/>
  <c r="D33"/>
  <c r="C33" s="1"/>
  <c r="F107"/>
  <c r="E106"/>
  <c r="D105"/>
  <c r="C105" s="1"/>
  <c r="F104"/>
  <c r="E103"/>
  <c r="D102"/>
  <c r="C102" s="1"/>
  <c r="F73" l="1"/>
  <c r="C71" s="1"/>
  <c r="E72"/>
  <c r="D71"/>
  <c r="F70"/>
  <c r="E69"/>
  <c r="D68"/>
  <c r="C68" s="1"/>
  <c r="F66" l="1"/>
  <c r="E65"/>
  <c r="D64"/>
  <c r="C64" s="1"/>
  <c r="F63"/>
  <c r="E62"/>
  <c r="D61"/>
  <c r="C61" s="1"/>
  <c r="F77" l="1"/>
  <c r="E76"/>
  <c r="D75"/>
  <c r="C75" l="1"/>
  <c r="F27"/>
  <c r="E26"/>
  <c r="D25"/>
  <c r="C25" l="1"/>
  <c r="F31"/>
  <c r="E30"/>
  <c r="D29"/>
  <c r="C29" l="1"/>
  <c r="F18"/>
  <c r="E17"/>
  <c r="D16"/>
  <c r="C16" l="1"/>
  <c r="F115"/>
  <c r="E114"/>
  <c r="D113"/>
  <c r="C113" l="1"/>
  <c r="F99"/>
  <c r="E98"/>
  <c r="D97"/>
  <c r="C97" l="1"/>
  <c r="F95"/>
  <c r="E94"/>
  <c r="D93"/>
  <c r="C93" l="1"/>
  <c r="F91"/>
  <c r="E90"/>
  <c r="D89"/>
  <c r="C89"/>
  <c r="F88"/>
  <c r="C86" s="1"/>
  <c r="E87"/>
  <c r="D86"/>
  <c r="F58" l="1"/>
  <c r="E57"/>
  <c r="D56"/>
  <c r="C56" l="1"/>
  <c r="F54"/>
  <c r="E53"/>
  <c r="D52"/>
  <c r="C52" l="1"/>
  <c r="F50"/>
  <c r="E49"/>
  <c r="D48"/>
  <c r="C48" l="1"/>
  <c r="F46"/>
  <c r="E45"/>
  <c r="D44"/>
  <c r="C44" l="1"/>
  <c r="F22"/>
  <c r="E21"/>
  <c r="D20"/>
  <c r="C20"/>
</calcChain>
</file>

<file path=xl/sharedStrings.xml><?xml version="1.0" encoding="utf-8"?>
<sst xmlns="http://schemas.openxmlformats.org/spreadsheetml/2006/main" count="103" uniqueCount="64">
  <si>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</si>
  <si>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</si>
  <si>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</si>
  <si>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</si>
  <si>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</si>
  <si>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</si>
  <si>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</si>
  <si>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</si>
  <si>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</si>
  <si>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</si>
  <si>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</si>
  <si>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</si>
  <si>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</si>
  <si>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</si>
  <si>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</si>
  <si>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</si>
  <si>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</si>
  <si>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</si>
  <si>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</si>
  <si>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Дифф.зачет</t>
  </si>
  <si>
    <t xml:space="preserve">                                       Дисциплины 303 (ОАБ)</t>
  </si>
  <si>
    <t>Дифф. зачет</t>
  </si>
  <si>
    <t xml:space="preserve">                                       Дисциплины 216, 217 (ОрТОР)</t>
  </si>
  <si>
    <t xml:space="preserve">               2 КУРС</t>
  </si>
  <si>
    <t xml:space="preserve">                                       Дисциплины 206 (ОрТОР)</t>
  </si>
  <si>
    <t xml:space="preserve">                                       Дисциплины 296 (ОрТОР)</t>
  </si>
  <si>
    <t xml:space="preserve">               3 КУРС</t>
  </si>
  <si>
    <t xml:space="preserve">                                       Дисциплины 205 (ОРТОП)</t>
  </si>
  <si>
    <t xml:space="preserve">                                       Дисциплины 295 (ОРТОП)</t>
  </si>
  <si>
    <t xml:space="preserve">                                       Дисциплины 399 (ОБПрВТ)</t>
  </si>
  <si>
    <t xml:space="preserve">               4 КУРС</t>
  </si>
  <si>
    <t>Электротехника и электроника</t>
  </si>
  <si>
    <t xml:space="preserve">                                            Кафедра № 13</t>
  </si>
  <si>
    <t>Дисциплины кафедры № 13</t>
  </si>
  <si>
    <t>Электроника</t>
  </si>
  <si>
    <t xml:space="preserve">                                       Дисциплины 203, 204 (ОрАД)</t>
  </si>
  <si>
    <t>Электросветотехническое оборудование аэродромов</t>
  </si>
  <si>
    <t>Электросветотехническое оборудование  аэродромов</t>
  </si>
  <si>
    <t>Автоматизированные системы управления</t>
  </si>
  <si>
    <t>Авиационные информационно-управляющие системы</t>
  </si>
  <si>
    <t>Основы автоматики и радиоуправления</t>
  </si>
  <si>
    <t>Дисциплины  110,111,112 (ОЛР)</t>
  </si>
  <si>
    <t>Дисциплины  193,194 (ЛЭГВС)</t>
  </si>
  <si>
    <t>Авиационные приборы и пилотажно-навигационные комплексы</t>
  </si>
  <si>
    <t>Экзамен</t>
  </si>
  <si>
    <t>Дисциплины 190,191,192а (ОЛР)</t>
  </si>
  <si>
    <t xml:space="preserve">Электросветотехническое оборудование аэродромов </t>
  </si>
  <si>
    <t>Электрооборудование воздушных судов</t>
  </si>
  <si>
    <t>Дисциплины 192 (ОЛР)</t>
  </si>
  <si>
    <t>Дисциплины  182 (ОЛР)</t>
  </si>
  <si>
    <t>Электрооборудование двух двигательного учебного самолета тип 1</t>
  </si>
  <si>
    <t>дисциплина 7 семестра</t>
  </si>
  <si>
    <t>на последнем занятии</t>
  </si>
  <si>
    <t>Приборное оборудование двух двигательного учебного самолета тип 1</t>
  </si>
  <si>
    <t xml:space="preserve">Экзамен </t>
  </si>
  <si>
    <t xml:space="preserve">                                       Дисциплины 105, 106, 107,107а (ИВП)</t>
  </si>
  <si>
    <t xml:space="preserve">                            Дисциплины  108,109 (ОрАНО)</t>
  </si>
  <si>
    <t xml:space="preserve">                      Дисциплины 100,101  (ОЛР)</t>
  </si>
  <si>
    <t xml:space="preserve">                         Дисциплины  102  (ОЛР)</t>
  </si>
  <si>
    <t>Бортовые информационно-управляющие системы</t>
  </si>
  <si>
    <t>Дисциплины  195,196,197,197а (ИВП)</t>
  </si>
  <si>
    <t>Дисциплины  188,189 (ОрАНО)</t>
  </si>
  <si>
    <t xml:space="preserve">               5 КУРС</t>
  </si>
  <si>
    <t>Дисциплины  178  (ОрАНО)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</si>
</sst>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  <font>
      <i/>
      <sz val="14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13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0" fontId="3" fillId="3" borderId="51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3" borderId="53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horizontal="center" vertical="center" wrapText="1"/>
    </xf>
    <xf numFmtId="0" fontId="3" fillId="3" borderId="32" xfId="0" applyFont="1" applyFill="1" applyBorder="1" applyAlignment="1">
      <alignment horizontal="center" vertical="center" wrapText="1"/>
    </xf>
    <xf numFmtId="1" fontId="6" fillId="3" borderId="30" xfId="0" applyNumberFormat="1" applyFont="1" applyFill="1" applyBorder="1" applyAlignment="1" applyProtection="1">
      <alignment horizontal="center" vertical="center" wrapText="1" shrinkToFit="1"/>
    </xf>
    <xf numFmtId="49" fontId="7" fillId="3" borderId="32" xfId="0" applyNumberFormat="1" applyFont="1" applyFill="1" applyBorder="1" applyAlignment="1" applyProtection="1">
      <alignment horizontal="left" vertical="top" wrapText="1"/>
    </xf>
    <xf numFmtId="0" fontId="2" fillId="0" borderId="0" xfId="0" applyFont="1" applyFill="1" applyBorder="1" applyAlignment="1">
      <alignment horizont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3" borderId="40" xfId="0" applyFont="1" applyFill="1" applyBorder="1" applyAlignment="1">
      <alignment horizontal="center" vertical="center" wrapText="1"/>
    </xf>
    <xf numFmtId="0" fontId="3" fillId="3" borderId="54" xfId="0" applyFont="1" applyFill="1" applyBorder="1" applyAlignment="1">
      <alignment horizontal="center" vertical="center" wrapText="1"/>
    </xf>
    <xf numFmtId="0" fontId="5" fillId="3" borderId="46" xfId="0" applyFont="1" applyFill="1" applyBorder="1" applyAlignment="1">
      <alignment horizontal="center" vertical="center" wrapText="1"/>
    </xf>
    <xf numFmtId="0" fontId="3" fillId="3" borderId="45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wrapText="1"/>
    </xf>
    <xf numFmtId="0" fontId="3" fillId="3" borderId="58" xfId="0" applyFont="1" applyFill="1" applyBorder="1" applyAlignment="1">
      <alignment vertical="center" wrapText="1"/>
    </xf>
    <xf numFmtId="0" fontId="3" fillId="3" borderId="59" xfId="0" applyFont="1" applyFill="1" applyBorder="1" applyAlignment="1">
      <alignment vertical="center" wrapText="1"/>
    </xf>
    <xf numFmtId="0" fontId="3" fillId="3" borderId="61" xfId="0" applyFont="1" applyFill="1" applyBorder="1" applyAlignment="1">
      <alignment horizontal="center" vertical="center" wrapText="1"/>
    </xf>
    <xf numFmtId="0" fontId="3" fillId="3" borderId="60" xfId="0" applyFont="1" applyFill="1" applyBorder="1" applyAlignment="1">
      <alignment horizontal="center" vertical="center" wrapText="1"/>
    </xf>
    <xf numFmtId="0" fontId="3" fillId="3" borderId="62" xfId="0" applyFont="1" applyFill="1" applyBorder="1" applyAlignment="1">
      <alignment horizontal="center" vertical="center" wrapText="1"/>
    </xf>
    <xf numFmtId="0" fontId="7" fillId="3" borderId="42" xfId="0" applyFont="1" applyFill="1" applyBorder="1" applyAlignment="1">
      <alignment wrapText="1"/>
    </xf>
    <xf numFmtId="0" fontId="3" fillId="3" borderId="63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1" fontId="6" fillId="0" borderId="8" xfId="0" applyNumberFormat="1" applyFont="1" applyFill="1" applyBorder="1" applyAlignment="1" applyProtection="1">
      <alignment horizontal="center" vertical="center" wrapText="1" shrinkToFit="1"/>
    </xf>
    <xf numFmtId="49" fontId="7" fillId="0" borderId="7" xfId="0" applyNumberFormat="1" applyFont="1" applyFill="1" applyBorder="1" applyAlignment="1" applyProtection="1">
      <alignment horizontal="left" vertical="top" wrapText="1"/>
    </xf>
    <xf numFmtId="0" fontId="3" fillId="0" borderId="4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63" xfId="0" applyFont="1" applyFill="1" applyBorder="1" applyAlignment="1">
      <alignment horizontal="center" vertical="center" wrapText="1"/>
    </xf>
    <xf numFmtId="0" fontId="3" fillId="0" borderId="32" xfId="0" applyFont="1" applyFill="1" applyBorder="1" applyAlignment="1">
      <alignment horizontal="center" vertical="center" wrapText="1"/>
    </xf>
    <xf numFmtId="0" fontId="3" fillId="0" borderId="64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wrapText="1"/>
    </xf>
    <xf numFmtId="0" fontId="3" fillId="0" borderId="33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5" fillId="0" borderId="65" xfId="0" applyFont="1" applyFill="1" applyBorder="1" applyAlignment="1">
      <alignment horizontal="center" vertical="center" wrapText="1"/>
    </xf>
    <xf numFmtId="49" fontId="12" fillId="0" borderId="16" xfId="0" applyNumberFormat="1" applyFont="1" applyFill="1" applyBorder="1" applyAlignment="1" applyProtection="1">
      <alignment horizontal="left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57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 applyProtection="1">
      <alignment horizontal="center" vertical="center" wrapText="1" shrinkToFit="1"/>
    </xf>
    <xf numFmtId="49" fontId="3" fillId="0" borderId="7" xfId="0" applyNumberFormat="1" applyFont="1" applyFill="1" applyBorder="1" applyAlignment="1" applyProtection="1">
      <alignment horizontal="left" vertical="top" wrapText="1"/>
    </xf>
    <xf numFmtId="0" fontId="3" fillId="0" borderId="51" xfId="0" applyFont="1" applyFill="1" applyBorder="1" applyAlignment="1">
      <alignment horizontal="center" vertical="center" wrapText="1"/>
    </xf>
    <xf numFmtId="1" fontId="4" fillId="0" borderId="9" xfId="0" applyNumberFormat="1" applyFont="1" applyFill="1" applyBorder="1" applyAlignment="1" applyProtection="1">
      <alignment horizontal="center" vertical="center" wrapText="1" shrinkToFit="1"/>
    </xf>
    <xf numFmtId="49" fontId="3" fillId="0" borderId="10" xfId="0" applyNumberFormat="1" applyFont="1" applyFill="1" applyBorder="1" applyAlignment="1" applyProtection="1">
      <alignment horizontal="left" vertical="center" wrapText="1"/>
    </xf>
    <xf numFmtId="0" fontId="4" fillId="0" borderId="15" xfId="0" applyFont="1" applyFill="1" applyBorder="1" applyAlignment="1" applyProtection="1">
      <alignment horizontal="center" vertical="center" wrapText="1" shrinkToFit="1"/>
    </xf>
    <xf numFmtId="0" fontId="3" fillId="0" borderId="66" xfId="0" applyFont="1" applyFill="1" applyBorder="1" applyAlignment="1">
      <alignment horizontal="center" vertical="center" wrapText="1"/>
    </xf>
    <xf numFmtId="0" fontId="3" fillId="0" borderId="52" xfId="0" applyFont="1" applyFill="1" applyBorder="1" applyAlignment="1">
      <alignment horizontal="center" vertical="center" wrapText="1"/>
    </xf>
    <xf numFmtId="0" fontId="3" fillId="0" borderId="16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20" xfId="0" applyFont="1" applyFill="1" applyBorder="1" applyAlignment="1">
      <alignment horizontal="center" wrapText="1"/>
    </xf>
    <xf numFmtId="0" fontId="2" fillId="0" borderId="17" xfId="0" applyFont="1" applyFill="1" applyBorder="1" applyAlignment="1">
      <alignment horizontal="center" wrapText="1"/>
    </xf>
    <xf numFmtId="0" fontId="2" fillId="0" borderId="56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55" xfId="0" applyFont="1" applyFill="1" applyBorder="1" applyAlignment="1">
      <alignment horizontal="center" wrapText="1"/>
    </xf>
    <xf numFmtId="0" fontId="2" fillId="0" borderId="52" xfId="0" applyFont="1" applyFill="1" applyBorder="1" applyAlignment="1">
      <alignment horizontal="center" wrapText="1"/>
    </xf>
    <xf numFmtId="0" fontId="2" fillId="0" borderId="57" xfId="0" applyFont="1" applyFill="1" applyBorder="1" applyAlignment="1">
      <alignment horizont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0" fontId="2" fillId="0" borderId="52" xfId="0" applyFont="1" applyBorder="1" applyAlignment="1">
      <alignment horizont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3" borderId="56" xfId="0" applyFont="1" applyFill="1" applyBorder="1" applyAlignment="1">
      <alignment horizontal="center" vertical="center" wrapText="1"/>
    </xf>
    <xf numFmtId="0" fontId="3" fillId="3" borderId="28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3" fillId="3" borderId="29" xfId="0" applyFont="1" applyFill="1" applyBorder="1" applyAlignment="1">
      <alignment horizontal="center" vertical="center" wrapText="1"/>
    </xf>
    <xf numFmtId="0" fontId="3" fillId="3" borderId="55" xfId="0" applyFont="1" applyFill="1" applyBorder="1" applyAlignment="1">
      <alignment horizontal="center" vertical="center" wrapText="1"/>
    </xf>
    <xf numFmtId="0" fontId="3" fillId="3" borderId="52" xfId="0" applyFont="1" applyFill="1" applyBorder="1" applyAlignment="1">
      <alignment horizontal="center" vertical="center" wrapText="1"/>
    </xf>
    <xf numFmtId="0" fontId="3" fillId="3" borderId="5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2" fillId="0" borderId="22" xfId="0" applyFont="1" applyBorder="1" applyAlignment="1">
      <alignment horizontal="center" wrapText="1"/>
    </xf>
    <xf numFmtId="0" fontId="9" fillId="2" borderId="20" xfId="0" applyFont="1" applyFill="1" applyBorder="1" applyAlignment="1">
      <alignment horizontal="center" vertical="center"/>
    </xf>
    <xf numFmtId="0" fontId="2" fillId="0" borderId="52" xfId="0" applyFont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wrapText="1"/>
    </xf>
  </cellXfs>
  <cellStyles count="2">
    <cellStyle name="Обычный" xfId="0" builtinId="0"/>
    <cellStyle name="Обычный 3" xfId="1"/>
  </cellStyles>
  <dxfs count="66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N120"/>
  <sheetViews>
    <sheetView tabSelected="1" topLeftCell="A97" zoomScale="70" zoomScaleNormal="70" workbookViewId="0">
      <selection activeCell="A117" sqref="A117:AE117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1" ht="18.75" customHeight="1">
      <c r="A1" s="182" t="s">
        <v>16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93"/>
    </row>
    <row r="2" spans="1:41">
      <c r="A2" s="183" t="s">
        <v>17</v>
      </c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  <c r="Z2" s="183"/>
      <c r="AA2" s="183"/>
      <c r="AB2" s="183"/>
      <c r="AC2" s="183"/>
      <c r="AD2" s="183"/>
    </row>
    <row r="3" spans="1:41" ht="18.75" customHeight="1">
      <c r="A3" s="208"/>
      <c r="B3" s="208"/>
      <c r="C3" s="208"/>
      <c r="H3" s="184" t="s">
        <v>32</v>
      </c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</row>
    <row r="4" spans="1:41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1" ht="20.100000000000001" customHeight="1" thickBot="1">
      <c r="A5" s="190" t="s">
        <v>1</v>
      </c>
      <c r="B5" s="193" t="s">
        <v>0</v>
      </c>
      <c r="C5" s="185" t="s">
        <v>4</v>
      </c>
      <c r="D5" s="186"/>
      <c r="E5" s="186"/>
      <c r="F5" s="186"/>
      <c r="G5" s="210" t="s">
        <v>9</v>
      </c>
      <c r="H5" s="207"/>
      <c r="I5" s="199" t="s">
        <v>10</v>
      </c>
      <c r="J5" s="200"/>
      <c r="K5" s="200"/>
      <c r="L5" s="201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99" t="s">
        <v>13</v>
      </c>
      <c r="V5" s="207"/>
      <c r="W5" s="200"/>
      <c r="X5" s="200"/>
      <c r="Y5" s="54"/>
      <c r="Z5" s="199" t="s">
        <v>14</v>
      </c>
      <c r="AA5" s="200"/>
      <c r="AB5" s="200"/>
      <c r="AC5" s="200"/>
      <c r="AD5" s="61"/>
      <c r="AE5" s="193" t="s">
        <v>5</v>
      </c>
    </row>
    <row r="6" spans="1:41" ht="20.100000000000001" customHeight="1" thickBot="1">
      <c r="A6" s="191"/>
      <c r="B6" s="194"/>
      <c r="C6" s="187"/>
      <c r="D6" s="188"/>
      <c r="E6" s="188"/>
      <c r="F6" s="189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94"/>
    </row>
    <row r="7" spans="1:41" ht="20.100000000000001" customHeight="1" thickBot="1">
      <c r="A7" s="191"/>
      <c r="B7" s="194"/>
      <c r="C7" s="196" t="s">
        <v>2</v>
      </c>
      <c r="D7" s="204" t="s">
        <v>3</v>
      </c>
      <c r="E7" s="205"/>
      <c r="F7" s="206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94"/>
    </row>
    <row r="8" spans="1:41" ht="20.100000000000001" customHeight="1">
      <c r="A8" s="191"/>
      <c r="B8" s="194"/>
      <c r="C8" s="197"/>
      <c r="D8" s="202" t="s">
        <v>6</v>
      </c>
      <c r="E8" s="197" t="s">
        <v>7</v>
      </c>
      <c r="F8" s="197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94"/>
    </row>
    <row r="9" spans="1:41" s="4" customFormat="1" ht="20.100000000000001" customHeight="1" thickBot="1">
      <c r="A9" s="191"/>
      <c r="B9" s="194"/>
      <c r="C9" s="197"/>
      <c r="D9" s="202"/>
      <c r="E9" s="197"/>
      <c r="F9" s="197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89"/>
    </row>
    <row r="10" spans="1:41" s="4" customFormat="1" ht="20.100000000000001" customHeight="1">
      <c r="A10" s="191"/>
      <c r="B10" s="194"/>
      <c r="C10" s="197"/>
      <c r="D10" s="202"/>
      <c r="E10" s="197"/>
      <c r="F10" s="197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94"/>
    </row>
    <row r="11" spans="1:41" s="4" customFormat="1" ht="20.100000000000001" customHeight="1" thickBot="1">
      <c r="A11" s="191"/>
      <c r="B11" s="194"/>
      <c r="C11" s="197"/>
      <c r="D11" s="202"/>
      <c r="E11" s="197"/>
      <c r="F11" s="197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94"/>
    </row>
    <row r="12" spans="1:41" s="4" customFormat="1" ht="20.100000000000001" customHeight="1" thickBot="1">
      <c r="A12" s="192"/>
      <c r="B12" s="195"/>
      <c r="C12" s="198"/>
      <c r="D12" s="203"/>
      <c r="E12" s="198"/>
      <c r="F12" s="198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95"/>
    </row>
    <row r="13" spans="1:41" s="4" customFormat="1" ht="35.25" customHeight="1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212" t="s">
        <v>33</v>
      </c>
      <c r="M13" s="212"/>
      <c r="N13" s="212"/>
      <c r="O13" s="212"/>
      <c r="P13" s="212"/>
      <c r="Q13" s="212"/>
      <c r="R13" s="212"/>
      <c r="S13" s="212"/>
      <c r="T13" s="212"/>
      <c r="U13" s="212"/>
      <c r="V13" s="212"/>
      <c r="W13" s="212"/>
      <c r="X13" s="212"/>
      <c r="Y13" s="212"/>
      <c r="Z13" s="212"/>
      <c r="AA13" s="212"/>
      <c r="AB13" s="212"/>
      <c r="AC13" s="212"/>
      <c r="AD13" s="212"/>
      <c r="AE13" s="212"/>
      <c r="AF13" s="212"/>
      <c r="AG13" s="212"/>
      <c r="AH13" s="212"/>
      <c r="AI13" s="212"/>
      <c r="AJ13" s="212"/>
      <c r="AK13" s="212"/>
      <c r="AL13" s="212"/>
      <c r="AM13" s="212"/>
      <c r="AN13" s="212"/>
      <c r="AO13" s="212"/>
    </row>
    <row r="14" spans="1:41" s="4" customFormat="1" ht="50.25" customHeight="1" thickBot="1">
      <c r="A14" s="211" t="s">
        <v>18</v>
      </c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93"/>
      <c r="AG14" s="93"/>
      <c r="AH14" s="93"/>
      <c r="AI14" s="93"/>
      <c r="AJ14" s="93"/>
      <c r="AK14" s="93"/>
      <c r="AL14" s="93"/>
      <c r="AM14" s="93"/>
      <c r="AN14" s="93"/>
      <c r="AO14" s="93"/>
    </row>
    <row r="15" spans="1:41" s="4" customFormat="1" ht="30.75" customHeight="1" thickBot="1">
      <c r="A15" s="159" t="s">
        <v>41</v>
      </c>
      <c r="B15" s="159"/>
      <c r="C15" s="159"/>
      <c r="D15" s="159"/>
      <c r="E15" s="159"/>
      <c r="F15" s="159"/>
      <c r="G15" s="159"/>
      <c r="H15" s="159"/>
      <c r="I15" s="159"/>
      <c r="J15" s="159"/>
      <c r="K15" s="160"/>
      <c r="L15" s="160"/>
      <c r="M15" s="160"/>
      <c r="N15" s="160"/>
      <c r="O15" s="160"/>
      <c r="P15" s="160"/>
      <c r="Q15" s="160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</row>
    <row r="16" spans="1:41" ht="37.5">
      <c r="A16" s="82">
        <v>13</v>
      </c>
      <c r="B16" s="83" t="s">
        <v>31</v>
      </c>
      <c r="C16" s="64">
        <f t="shared" ref="C16" si="0">SUM(D16:F18)</f>
        <v>36</v>
      </c>
      <c r="D16" s="65">
        <f t="shared" ref="D16" si="1">SUM(G16:AD16)</f>
        <v>18</v>
      </c>
      <c r="E16" s="65"/>
      <c r="F16" s="66"/>
      <c r="G16" s="67">
        <v>2</v>
      </c>
      <c r="H16" s="68"/>
      <c r="I16" s="68">
        <v>2</v>
      </c>
      <c r="J16" s="67"/>
      <c r="K16" s="64">
        <v>2</v>
      </c>
      <c r="L16" s="65"/>
      <c r="M16" s="65">
        <v>2</v>
      </c>
      <c r="N16" s="65"/>
      <c r="O16" s="65">
        <v>2</v>
      </c>
      <c r="P16" s="65"/>
      <c r="Q16" s="64">
        <v>2</v>
      </c>
      <c r="R16" s="64"/>
      <c r="S16" s="65">
        <v>2</v>
      </c>
      <c r="T16" s="65"/>
      <c r="U16" s="65">
        <v>2</v>
      </c>
      <c r="V16" s="65"/>
      <c r="W16" s="65">
        <v>2</v>
      </c>
      <c r="X16" s="65"/>
      <c r="Y16" s="65"/>
      <c r="Z16" s="65"/>
      <c r="AA16" s="65"/>
      <c r="AB16" s="65"/>
      <c r="AC16" s="65"/>
      <c r="AD16" s="65"/>
      <c r="AE16" s="66" t="s">
        <v>19</v>
      </c>
    </row>
    <row r="17" spans="1:66">
      <c r="A17" s="84"/>
      <c r="B17" s="85"/>
      <c r="C17" s="71"/>
      <c r="D17" s="72"/>
      <c r="E17" s="72">
        <f t="shared" ref="E17" si="2">SUM(G17:AD17)</f>
        <v>14</v>
      </c>
      <c r="F17" s="73"/>
      <c r="G17" s="116"/>
      <c r="H17" s="72">
        <v>2</v>
      </c>
      <c r="I17" s="71"/>
      <c r="J17" s="72">
        <v>2</v>
      </c>
      <c r="K17" s="71"/>
      <c r="L17" s="72">
        <v>2</v>
      </c>
      <c r="M17" s="72"/>
      <c r="N17" s="72">
        <v>2</v>
      </c>
      <c r="O17" s="72"/>
      <c r="P17" s="72">
        <v>2</v>
      </c>
      <c r="Q17" s="71"/>
      <c r="R17" s="71">
        <v>2</v>
      </c>
      <c r="S17" s="72"/>
      <c r="T17" s="72">
        <v>2</v>
      </c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6"/>
    </row>
    <row r="18" spans="1:66" ht="19.5" thickBot="1">
      <c r="A18" s="88"/>
      <c r="B18" s="89"/>
      <c r="C18" s="79"/>
      <c r="D18" s="80"/>
      <c r="E18" s="80"/>
      <c r="F18" s="81">
        <f t="shared" ref="F18" si="3">SUM(G18:AD18)</f>
        <v>4</v>
      </c>
      <c r="G18" s="86"/>
      <c r="H18" s="87"/>
      <c r="I18" s="86"/>
      <c r="J18" s="79"/>
      <c r="K18" s="86"/>
      <c r="L18" s="87"/>
      <c r="M18" s="87"/>
      <c r="N18" s="87"/>
      <c r="O18" s="87"/>
      <c r="P18" s="87"/>
      <c r="Q18" s="86"/>
      <c r="R18" s="86"/>
      <c r="S18" s="87"/>
      <c r="T18" s="87"/>
      <c r="U18" s="87"/>
      <c r="V18" s="87">
        <v>2</v>
      </c>
      <c r="W18" s="87"/>
      <c r="X18" s="87">
        <v>2</v>
      </c>
      <c r="Y18" s="87"/>
      <c r="Z18" s="87"/>
      <c r="AA18" s="87"/>
      <c r="AB18" s="87"/>
      <c r="AC18" s="87"/>
      <c r="AD18" s="87"/>
      <c r="AE18" s="81">
        <v>18</v>
      </c>
    </row>
    <row r="19" spans="1:66" s="4" customFormat="1" ht="19.5" thickBot="1">
      <c r="A19" s="169" t="s">
        <v>22</v>
      </c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  <c r="Q19" s="170"/>
      <c r="R19" s="170"/>
      <c r="S19" s="170"/>
      <c r="T19" s="170"/>
      <c r="U19" s="170"/>
      <c r="V19" s="170"/>
      <c r="W19" s="170"/>
      <c r="X19" s="170"/>
      <c r="Y19" s="170"/>
      <c r="Z19" s="170"/>
      <c r="AA19" s="170"/>
      <c r="AB19" s="170"/>
      <c r="AC19" s="170"/>
      <c r="AD19" s="170"/>
      <c r="AE19" s="17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</row>
    <row r="20" spans="1:66" s="4" customFormat="1" ht="37.5">
      <c r="A20" s="82">
        <v>13</v>
      </c>
      <c r="B20" s="83" t="s">
        <v>31</v>
      </c>
      <c r="C20" s="64">
        <f t="shared" ref="C20" si="4">SUM(D20:F22)</f>
        <v>54</v>
      </c>
      <c r="D20" s="65">
        <f t="shared" ref="D20" si="5">SUM(G20:X20)</f>
        <v>18</v>
      </c>
      <c r="E20" s="65"/>
      <c r="F20" s="66"/>
      <c r="G20" s="67">
        <v>2</v>
      </c>
      <c r="H20" s="68"/>
      <c r="I20" s="68">
        <v>2</v>
      </c>
      <c r="J20" s="67"/>
      <c r="K20" s="64">
        <v>2</v>
      </c>
      <c r="L20" s="65"/>
      <c r="M20" s="65">
        <v>2</v>
      </c>
      <c r="N20" s="65"/>
      <c r="O20" s="65">
        <v>2</v>
      </c>
      <c r="P20" s="65"/>
      <c r="Q20" s="64">
        <v>2</v>
      </c>
      <c r="R20" s="64"/>
      <c r="S20" s="65">
        <v>2</v>
      </c>
      <c r="T20" s="65"/>
      <c r="U20" s="65">
        <v>2</v>
      </c>
      <c r="V20" s="65"/>
      <c r="W20" s="65">
        <v>2</v>
      </c>
      <c r="X20" s="66"/>
      <c r="Y20" s="64"/>
      <c r="Z20" s="65"/>
      <c r="AA20" s="65"/>
      <c r="AB20" s="65"/>
      <c r="AC20" s="65"/>
      <c r="AD20" s="65"/>
      <c r="AE20" s="66" t="s">
        <v>15</v>
      </c>
      <c r="AM20" s="11"/>
      <c r="AN20" s="11"/>
      <c r="AO20" s="11"/>
      <c r="AP20" s="11"/>
      <c r="AQ20" s="11"/>
      <c r="AR20" s="11"/>
    </row>
    <row r="21" spans="1:66" s="4" customFormat="1">
      <c r="A21" s="84"/>
      <c r="B21" s="85"/>
      <c r="C21" s="71"/>
      <c r="D21" s="72"/>
      <c r="E21" s="72">
        <f t="shared" ref="E21" si="6">SUM(G21:X21)</f>
        <v>32</v>
      </c>
      <c r="F21" s="73"/>
      <c r="G21" s="71">
        <v>2</v>
      </c>
      <c r="H21" s="71">
        <v>2</v>
      </c>
      <c r="I21" s="71">
        <v>2</v>
      </c>
      <c r="J21" s="71">
        <v>2</v>
      </c>
      <c r="K21" s="71">
        <v>2</v>
      </c>
      <c r="L21" s="71">
        <v>2</v>
      </c>
      <c r="M21" s="71">
        <v>2</v>
      </c>
      <c r="N21" s="71">
        <v>2</v>
      </c>
      <c r="O21" s="71">
        <v>2</v>
      </c>
      <c r="P21" s="71">
        <v>2</v>
      </c>
      <c r="Q21" s="71">
        <v>2</v>
      </c>
      <c r="R21" s="71">
        <v>2</v>
      </c>
      <c r="S21" s="71">
        <v>2</v>
      </c>
      <c r="T21" s="71">
        <v>2</v>
      </c>
      <c r="U21" s="71">
        <v>2</v>
      </c>
      <c r="V21" s="71">
        <v>2</v>
      </c>
      <c r="W21" s="72"/>
      <c r="X21" s="73"/>
      <c r="Y21" s="71"/>
      <c r="Z21" s="72"/>
      <c r="AA21" s="72"/>
      <c r="AB21" s="72"/>
      <c r="AC21" s="72"/>
      <c r="AD21" s="72"/>
      <c r="AE21" s="76"/>
      <c r="AM21" s="12"/>
      <c r="AN21" s="96"/>
      <c r="AO21" s="158"/>
      <c r="AP21" s="158"/>
      <c r="AQ21" s="11"/>
      <c r="AR21" s="11"/>
    </row>
    <row r="22" spans="1:66" s="4" customFormat="1" ht="19.5" thickBot="1">
      <c r="A22" s="98"/>
      <c r="B22" s="89"/>
      <c r="C22" s="79"/>
      <c r="D22" s="80"/>
      <c r="E22" s="80"/>
      <c r="F22" s="81">
        <f t="shared" ref="F22" si="7">SUM(G22:X22)</f>
        <v>4</v>
      </c>
      <c r="G22" s="79"/>
      <c r="H22" s="80"/>
      <c r="I22" s="80"/>
      <c r="J22" s="79"/>
      <c r="K22" s="79"/>
      <c r="L22" s="80"/>
      <c r="M22" s="80"/>
      <c r="N22" s="80"/>
      <c r="O22" s="80"/>
      <c r="P22" s="80"/>
      <c r="Q22" s="86"/>
      <c r="R22" s="86"/>
      <c r="S22" s="87"/>
      <c r="T22" s="87"/>
      <c r="U22" s="87"/>
      <c r="V22" s="87"/>
      <c r="W22" s="87">
        <v>2</v>
      </c>
      <c r="X22" s="92">
        <v>2</v>
      </c>
      <c r="Y22" s="86"/>
      <c r="Z22" s="87"/>
      <c r="AA22" s="87"/>
      <c r="AB22" s="87"/>
      <c r="AC22" s="87"/>
      <c r="AD22" s="87"/>
      <c r="AE22" s="81">
        <v>9</v>
      </c>
      <c r="AM22" s="12"/>
      <c r="AN22" s="96"/>
      <c r="AO22" s="158"/>
      <c r="AP22" s="158"/>
      <c r="AQ22" s="11"/>
      <c r="AR22" s="11"/>
    </row>
    <row r="23" spans="1:66" s="4" customFormat="1" ht="44.25" customHeight="1" thickBot="1">
      <c r="A23" s="172" t="s">
        <v>23</v>
      </c>
      <c r="B23" s="172"/>
      <c r="C23" s="172"/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  <c r="AC23" s="172"/>
      <c r="AD23" s="172"/>
      <c r="AE23" s="172"/>
      <c r="AM23" s="12"/>
      <c r="AN23" s="96"/>
      <c r="AO23" s="99"/>
      <c r="AP23" s="99"/>
      <c r="AQ23" s="11"/>
      <c r="AR23" s="11"/>
    </row>
    <row r="24" spans="1:66" s="4" customFormat="1" ht="27" customHeight="1" thickBot="1">
      <c r="A24" s="159" t="s">
        <v>58</v>
      </c>
      <c r="B24" s="159"/>
      <c r="C24" s="159"/>
      <c r="D24" s="159"/>
      <c r="E24" s="159"/>
      <c r="F24" s="159"/>
      <c r="G24" s="159"/>
      <c r="H24" s="159"/>
      <c r="I24" s="159"/>
      <c r="J24" s="159"/>
      <c r="K24" s="160"/>
      <c r="L24" s="160"/>
      <c r="M24" s="160"/>
      <c r="N24" s="160"/>
      <c r="O24" s="160"/>
      <c r="P24" s="160"/>
      <c r="Q24" s="159"/>
      <c r="R24" s="159"/>
      <c r="S24" s="160"/>
      <c r="T24" s="160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</row>
    <row r="25" spans="1:66" s="4" customFormat="1" ht="37.5">
      <c r="A25" s="82">
        <v>13</v>
      </c>
      <c r="B25" s="83" t="s">
        <v>31</v>
      </c>
      <c r="C25" s="64">
        <f t="shared" ref="C25" si="8">SUM(D25:F27)</f>
        <v>48</v>
      </c>
      <c r="D25" s="65">
        <f t="shared" ref="D25" si="9">SUM(G25:AD25)</f>
        <v>24</v>
      </c>
      <c r="E25" s="65"/>
      <c r="F25" s="66"/>
      <c r="G25" s="64">
        <v>2</v>
      </c>
      <c r="H25" s="64">
        <v>2</v>
      </c>
      <c r="I25" s="64">
        <v>2</v>
      </c>
      <c r="J25" s="64">
        <v>2</v>
      </c>
      <c r="K25" s="64">
        <v>2</v>
      </c>
      <c r="L25" s="64">
        <v>2</v>
      </c>
      <c r="M25" s="64">
        <v>2</v>
      </c>
      <c r="N25" s="64">
        <v>2</v>
      </c>
      <c r="O25" s="64">
        <v>2</v>
      </c>
      <c r="P25" s="64">
        <v>2</v>
      </c>
      <c r="Q25" s="64">
        <v>2</v>
      </c>
      <c r="R25" s="117">
        <v>2</v>
      </c>
      <c r="S25" s="161"/>
      <c r="T25" s="163"/>
      <c r="U25" s="64"/>
      <c r="V25" s="65"/>
      <c r="W25" s="65"/>
      <c r="X25" s="65"/>
      <c r="Y25" s="65"/>
      <c r="Z25" s="65"/>
      <c r="AA25" s="65"/>
      <c r="AB25" s="65"/>
      <c r="AC25" s="65"/>
      <c r="AD25" s="65"/>
      <c r="AE25" s="66" t="s">
        <v>19</v>
      </c>
      <c r="AM25" s="11"/>
      <c r="AN25" s="11"/>
      <c r="AO25" s="11"/>
      <c r="AP25" s="11"/>
      <c r="AQ25" s="11"/>
      <c r="AR25" s="11"/>
    </row>
    <row r="26" spans="1:66" s="4" customFormat="1">
      <c r="A26" s="84"/>
      <c r="B26" s="85"/>
      <c r="C26" s="71"/>
      <c r="D26" s="72"/>
      <c r="E26" s="72">
        <f t="shared" ref="E26" si="10">SUM(G26:AD26)</f>
        <v>20</v>
      </c>
      <c r="F26" s="73"/>
      <c r="G26" s="71">
        <v>2</v>
      </c>
      <c r="H26" s="71">
        <v>2</v>
      </c>
      <c r="I26" s="71">
        <v>2</v>
      </c>
      <c r="J26" s="71">
        <v>2</v>
      </c>
      <c r="K26" s="71">
        <v>2</v>
      </c>
      <c r="L26" s="71">
        <v>2</v>
      </c>
      <c r="M26" s="71">
        <v>2</v>
      </c>
      <c r="N26" s="71">
        <v>2</v>
      </c>
      <c r="O26" s="71">
        <v>2</v>
      </c>
      <c r="P26" s="71">
        <v>2</v>
      </c>
      <c r="Q26" s="71"/>
      <c r="R26" s="90"/>
      <c r="S26" s="164"/>
      <c r="T26" s="165"/>
      <c r="U26" s="71"/>
      <c r="V26" s="72"/>
      <c r="W26" s="72"/>
      <c r="X26" s="72"/>
      <c r="Y26" s="72"/>
      <c r="Z26" s="72"/>
      <c r="AA26" s="72"/>
      <c r="AB26" s="72"/>
      <c r="AC26" s="72"/>
      <c r="AD26" s="72"/>
      <c r="AE26" s="76"/>
      <c r="AM26" s="12"/>
      <c r="AN26" s="96"/>
      <c r="AO26" s="158"/>
      <c r="AP26" s="158"/>
      <c r="AQ26" s="11"/>
      <c r="AR26" s="11"/>
    </row>
    <row r="27" spans="1:66" s="4" customFormat="1" ht="19.5" thickBot="1">
      <c r="A27" s="98"/>
      <c r="B27" s="89"/>
      <c r="C27" s="79"/>
      <c r="D27" s="80"/>
      <c r="E27" s="80"/>
      <c r="F27" s="81">
        <f t="shared" ref="F27" si="11">SUM(G27:AD27)</f>
        <v>4</v>
      </c>
      <c r="G27" s="79"/>
      <c r="H27" s="80"/>
      <c r="I27" s="80"/>
      <c r="J27" s="79"/>
      <c r="K27" s="86"/>
      <c r="L27" s="87"/>
      <c r="M27" s="87"/>
      <c r="N27" s="87"/>
      <c r="O27" s="87"/>
      <c r="P27" s="87"/>
      <c r="Q27" s="71">
        <v>2</v>
      </c>
      <c r="R27" s="90">
        <v>2</v>
      </c>
      <c r="S27" s="166"/>
      <c r="T27" s="168"/>
      <c r="U27" s="86"/>
      <c r="V27" s="87"/>
      <c r="W27" s="87"/>
      <c r="X27" s="87"/>
      <c r="Y27" s="87"/>
      <c r="Z27" s="87"/>
      <c r="AA27" s="87"/>
      <c r="AB27" s="87"/>
      <c r="AC27" s="87"/>
      <c r="AD27" s="87"/>
      <c r="AE27" s="81">
        <v>9</v>
      </c>
      <c r="AM27" s="12"/>
      <c r="AN27" s="96"/>
      <c r="AO27" s="158"/>
      <c r="AP27" s="158"/>
      <c r="AQ27" s="11"/>
      <c r="AR27" s="11"/>
    </row>
    <row r="28" spans="1:66" s="4" customFormat="1" ht="30" customHeight="1" thickBot="1">
      <c r="A28" s="159" t="s">
        <v>57</v>
      </c>
      <c r="B28" s="159"/>
      <c r="C28" s="159"/>
      <c r="D28" s="159"/>
      <c r="E28" s="159"/>
      <c r="F28" s="159"/>
      <c r="G28" s="159"/>
      <c r="H28" s="159"/>
      <c r="I28" s="159"/>
      <c r="J28" s="159"/>
      <c r="K28" s="160"/>
      <c r="L28" s="160"/>
      <c r="M28" s="160"/>
      <c r="N28" s="160"/>
      <c r="O28" s="160"/>
      <c r="P28" s="160"/>
      <c r="Q28" s="159"/>
      <c r="R28" s="159"/>
      <c r="S28" s="160"/>
      <c r="T28" s="160"/>
      <c r="U28" s="159"/>
      <c r="V28" s="159"/>
      <c r="W28" s="159"/>
      <c r="X28" s="159"/>
      <c r="Y28" s="159"/>
      <c r="Z28" s="159"/>
      <c r="AA28" s="159"/>
      <c r="AB28" s="159"/>
      <c r="AC28" s="159"/>
      <c r="AD28" s="160"/>
      <c r="AE28" s="159"/>
    </row>
    <row r="29" spans="1:66" s="4" customFormat="1" ht="37.5">
      <c r="A29" s="82">
        <v>13</v>
      </c>
      <c r="B29" s="83" t="s">
        <v>31</v>
      </c>
      <c r="C29" s="64">
        <f t="shared" ref="C29" si="12">SUM(D29:F31)</f>
        <v>48</v>
      </c>
      <c r="D29" s="65">
        <f t="shared" ref="D29" si="13">SUM(G29:AD29)</f>
        <v>24</v>
      </c>
      <c r="E29" s="65"/>
      <c r="F29" s="66"/>
      <c r="G29" s="64">
        <v>2</v>
      </c>
      <c r="H29" s="64">
        <v>2</v>
      </c>
      <c r="I29" s="64">
        <v>2</v>
      </c>
      <c r="J29" s="64">
        <v>2</v>
      </c>
      <c r="K29" s="64">
        <v>2</v>
      </c>
      <c r="L29" s="64">
        <v>2</v>
      </c>
      <c r="M29" s="64">
        <v>2</v>
      </c>
      <c r="N29" s="64">
        <v>2</v>
      </c>
      <c r="O29" s="64">
        <v>2</v>
      </c>
      <c r="P29" s="64">
        <v>2</v>
      </c>
      <c r="Q29" s="64">
        <v>2</v>
      </c>
      <c r="R29" s="117">
        <v>2</v>
      </c>
      <c r="S29" s="161"/>
      <c r="T29" s="163"/>
      <c r="U29" s="64"/>
      <c r="V29" s="65"/>
      <c r="W29" s="65"/>
      <c r="X29" s="65"/>
      <c r="Y29" s="65"/>
      <c r="Z29" s="65"/>
      <c r="AA29" s="65"/>
      <c r="AB29" s="65"/>
      <c r="AC29" s="66"/>
      <c r="AD29" s="121"/>
      <c r="AE29" s="118" t="s">
        <v>19</v>
      </c>
      <c r="AM29" s="11"/>
      <c r="AN29" s="11"/>
      <c r="AO29" s="11"/>
      <c r="AP29" s="11"/>
      <c r="AQ29" s="11"/>
      <c r="AR29" s="11"/>
    </row>
    <row r="30" spans="1:66" s="4" customFormat="1">
      <c r="A30" s="84"/>
      <c r="B30" s="85"/>
      <c r="C30" s="71"/>
      <c r="D30" s="72"/>
      <c r="E30" s="72">
        <f t="shared" ref="E30" si="14">SUM(G30:AD30)</f>
        <v>20</v>
      </c>
      <c r="F30" s="73"/>
      <c r="G30" s="71">
        <v>2</v>
      </c>
      <c r="H30" s="71">
        <v>2</v>
      </c>
      <c r="I30" s="71">
        <v>2</v>
      </c>
      <c r="J30" s="71">
        <v>2</v>
      </c>
      <c r="K30" s="71">
        <v>2</v>
      </c>
      <c r="L30" s="71">
        <v>2</v>
      </c>
      <c r="M30" s="71">
        <v>2</v>
      </c>
      <c r="N30" s="71">
        <v>2</v>
      </c>
      <c r="O30" s="71">
        <v>2</v>
      </c>
      <c r="P30" s="71">
        <v>2</v>
      </c>
      <c r="Q30" s="71"/>
      <c r="R30" s="90"/>
      <c r="S30" s="164"/>
      <c r="T30" s="165"/>
      <c r="U30" s="71"/>
      <c r="V30" s="72"/>
      <c r="W30" s="72"/>
      <c r="X30" s="72"/>
      <c r="Y30" s="72"/>
      <c r="Z30" s="72"/>
      <c r="AA30" s="72"/>
      <c r="AB30" s="72"/>
      <c r="AC30" s="73"/>
      <c r="AD30" s="115"/>
      <c r="AE30" s="119"/>
      <c r="AM30" s="12"/>
      <c r="AN30" s="96"/>
      <c r="AO30" s="158"/>
      <c r="AP30" s="158"/>
      <c r="AQ30" s="11"/>
      <c r="AR30" s="11"/>
    </row>
    <row r="31" spans="1:66" s="4" customFormat="1" ht="19.5" thickBot="1">
      <c r="A31" s="88"/>
      <c r="B31" s="89"/>
      <c r="C31" s="79"/>
      <c r="D31" s="80"/>
      <c r="E31" s="80"/>
      <c r="F31" s="81">
        <f t="shared" ref="F31" si="15">SUM(G31:AD31)</f>
        <v>4</v>
      </c>
      <c r="G31" s="79"/>
      <c r="H31" s="80"/>
      <c r="I31" s="80"/>
      <c r="J31" s="79"/>
      <c r="K31" s="86"/>
      <c r="L31" s="87"/>
      <c r="M31" s="87"/>
      <c r="N31" s="87"/>
      <c r="O31" s="87"/>
      <c r="P31" s="87"/>
      <c r="Q31" s="71">
        <v>2</v>
      </c>
      <c r="R31" s="90">
        <v>2</v>
      </c>
      <c r="S31" s="166"/>
      <c r="T31" s="168"/>
      <c r="U31" s="86"/>
      <c r="V31" s="87"/>
      <c r="W31" s="87"/>
      <c r="X31" s="87"/>
      <c r="Y31" s="87"/>
      <c r="Z31" s="87"/>
      <c r="AA31" s="87"/>
      <c r="AB31" s="87"/>
      <c r="AC31" s="92"/>
      <c r="AD31" s="115"/>
      <c r="AE31" s="120">
        <v>9</v>
      </c>
      <c r="AM31" s="12"/>
      <c r="AN31" s="96"/>
      <c r="AO31" s="158"/>
      <c r="AP31" s="158"/>
      <c r="AQ31" s="11"/>
      <c r="AR31" s="11"/>
    </row>
    <row r="32" spans="1:66" s="4" customFormat="1" ht="19.5" thickBot="1">
      <c r="A32" s="169" t="s">
        <v>55</v>
      </c>
      <c r="B32" s="170"/>
      <c r="C32" s="170"/>
      <c r="D32" s="170"/>
      <c r="E32" s="170"/>
      <c r="F32" s="170"/>
      <c r="G32" s="170"/>
      <c r="H32" s="170"/>
      <c r="I32" s="170"/>
      <c r="J32" s="170"/>
      <c r="K32" s="170"/>
      <c r="L32" s="170"/>
      <c r="M32" s="170"/>
      <c r="N32" s="170"/>
      <c r="O32" s="170"/>
      <c r="P32" s="170"/>
      <c r="Q32" s="170"/>
      <c r="R32" s="170"/>
      <c r="S32" s="170"/>
      <c r="T32" s="170"/>
      <c r="U32" s="170"/>
      <c r="V32" s="170"/>
      <c r="W32" s="170"/>
      <c r="X32" s="170"/>
      <c r="Y32" s="170"/>
      <c r="Z32" s="170"/>
      <c r="AA32" s="170"/>
      <c r="AB32" s="170"/>
      <c r="AC32" s="170"/>
      <c r="AD32" s="170"/>
      <c r="AE32" s="171"/>
      <c r="AM32" s="11"/>
      <c r="AN32" s="11"/>
      <c r="AO32" s="11"/>
      <c r="AP32" s="11"/>
      <c r="AQ32" s="11"/>
      <c r="AR32" s="11"/>
    </row>
    <row r="33" spans="1:44" s="4" customFormat="1" ht="37.5">
      <c r="A33" s="82">
        <v>13</v>
      </c>
      <c r="B33" s="83" t="s">
        <v>31</v>
      </c>
      <c r="C33" s="64">
        <f t="shared" ref="C33" si="16">SUM(D33:F35)</f>
        <v>54</v>
      </c>
      <c r="D33" s="65">
        <f t="shared" ref="D33" si="17">SUM(G33:AD33)</f>
        <v>18</v>
      </c>
      <c r="E33" s="65"/>
      <c r="F33" s="66"/>
      <c r="G33" s="64">
        <v>2</v>
      </c>
      <c r="H33" s="65"/>
      <c r="I33" s="65">
        <v>2</v>
      </c>
      <c r="J33" s="64"/>
      <c r="K33" s="64">
        <v>2</v>
      </c>
      <c r="L33" s="65"/>
      <c r="M33" s="65">
        <v>2</v>
      </c>
      <c r="N33" s="65"/>
      <c r="O33" s="65">
        <v>2</v>
      </c>
      <c r="P33" s="65"/>
      <c r="Q33" s="64">
        <v>2</v>
      </c>
      <c r="R33" s="64"/>
      <c r="S33" s="65">
        <v>2</v>
      </c>
      <c r="T33" s="65"/>
      <c r="U33" s="65">
        <v>2</v>
      </c>
      <c r="V33" s="65"/>
      <c r="W33" s="65">
        <v>2</v>
      </c>
      <c r="X33" s="65"/>
      <c r="Y33" s="65"/>
      <c r="Z33" s="65"/>
      <c r="AA33" s="65"/>
      <c r="AB33" s="65"/>
      <c r="AC33" s="65"/>
      <c r="AD33" s="65"/>
      <c r="AE33" s="66" t="s">
        <v>54</v>
      </c>
      <c r="AM33" s="11"/>
      <c r="AN33" s="11"/>
      <c r="AO33" s="11"/>
      <c r="AP33" s="11"/>
      <c r="AQ33" s="11"/>
      <c r="AR33" s="11"/>
    </row>
    <row r="34" spans="1:44" s="4" customFormat="1">
      <c r="A34" s="84"/>
      <c r="B34" s="85"/>
      <c r="C34" s="71"/>
      <c r="D34" s="72"/>
      <c r="E34" s="72">
        <f t="shared" ref="E34" si="18">SUM(G34:X34)</f>
        <v>34</v>
      </c>
      <c r="F34" s="73"/>
      <c r="G34" s="71">
        <v>2</v>
      </c>
      <c r="H34" s="71">
        <v>2</v>
      </c>
      <c r="I34" s="71">
        <v>2</v>
      </c>
      <c r="J34" s="71">
        <v>2</v>
      </c>
      <c r="K34" s="71">
        <v>2</v>
      </c>
      <c r="L34" s="71">
        <v>2</v>
      </c>
      <c r="M34" s="71">
        <v>2</v>
      </c>
      <c r="N34" s="71">
        <v>2</v>
      </c>
      <c r="O34" s="71">
        <v>2</v>
      </c>
      <c r="P34" s="71">
        <v>2</v>
      </c>
      <c r="Q34" s="71">
        <v>2</v>
      </c>
      <c r="R34" s="71">
        <v>2</v>
      </c>
      <c r="S34" s="71">
        <v>2</v>
      </c>
      <c r="T34" s="71">
        <v>2</v>
      </c>
      <c r="U34" s="71">
        <v>2</v>
      </c>
      <c r="V34" s="71">
        <v>2</v>
      </c>
      <c r="W34" s="71">
        <v>2</v>
      </c>
      <c r="X34" s="72"/>
      <c r="Y34" s="72"/>
      <c r="Z34" s="72"/>
      <c r="AA34" s="72"/>
      <c r="AB34" s="72"/>
      <c r="AC34" s="72"/>
      <c r="AD34" s="72"/>
      <c r="AE34" s="76"/>
      <c r="AM34" s="12"/>
      <c r="AN34" s="96"/>
      <c r="AO34" s="158"/>
      <c r="AP34" s="158"/>
      <c r="AQ34" s="11"/>
      <c r="AR34" s="11"/>
    </row>
    <row r="35" spans="1:44" s="4" customFormat="1" ht="19.5" thickBot="1">
      <c r="A35" s="88"/>
      <c r="B35" s="89"/>
      <c r="C35" s="79"/>
      <c r="D35" s="80"/>
      <c r="E35" s="80"/>
      <c r="F35" s="81">
        <f t="shared" ref="F35" si="19">SUM(G35:AD35)</f>
        <v>2</v>
      </c>
      <c r="G35" s="79"/>
      <c r="H35" s="80"/>
      <c r="I35" s="80"/>
      <c r="J35" s="79"/>
      <c r="K35" s="86"/>
      <c r="L35" s="87"/>
      <c r="M35" s="87"/>
      <c r="N35" s="87"/>
      <c r="O35" s="87"/>
      <c r="P35" s="87"/>
      <c r="Q35" s="86"/>
      <c r="R35" s="86"/>
      <c r="S35" s="87"/>
      <c r="T35" s="87"/>
      <c r="U35" s="87"/>
      <c r="V35" s="87"/>
      <c r="W35" s="87"/>
      <c r="X35" s="87">
        <v>2</v>
      </c>
      <c r="Y35" s="87"/>
      <c r="Z35" s="87"/>
      <c r="AA35" s="87"/>
      <c r="AB35" s="87"/>
      <c r="AC35" s="87"/>
      <c r="AD35" s="87"/>
      <c r="AE35" s="81">
        <v>36</v>
      </c>
      <c r="AM35" s="12"/>
      <c r="AN35" s="96"/>
      <c r="AO35" s="158"/>
      <c r="AP35" s="158"/>
      <c r="AQ35" s="11"/>
      <c r="AR35" s="11"/>
    </row>
    <row r="36" spans="1:44" s="4" customFormat="1" ht="19.5" thickBot="1">
      <c r="A36" s="159" t="s">
        <v>56</v>
      </c>
      <c r="B36" s="159"/>
      <c r="C36" s="159"/>
      <c r="D36" s="159"/>
      <c r="E36" s="159"/>
      <c r="F36" s="159"/>
      <c r="G36" s="159"/>
      <c r="H36" s="159"/>
      <c r="I36" s="159"/>
      <c r="J36" s="159"/>
      <c r="K36" s="160"/>
      <c r="L36" s="160"/>
      <c r="M36" s="160"/>
      <c r="N36" s="160"/>
      <c r="O36" s="160"/>
      <c r="P36" s="160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M36" s="12"/>
      <c r="AN36" s="96"/>
      <c r="AO36" s="156"/>
      <c r="AP36" s="156"/>
      <c r="AQ36" s="11"/>
      <c r="AR36" s="11"/>
    </row>
    <row r="37" spans="1:44" s="4" customFormat="1" ht="37.5">
      <c r="A37" s="82">
        <v>13</v>
      </c>
      <c r="B37" s="83" t="s">
        <v>31</v>
      </c>
      <c r="C37" s="64">
        <f t="shared" ref="C37" si="20">SUM(D37:F39)</f>
        <v>40</v>
      </c>
      <c r="D37" s="65">
        <f t="shared" ref="D37" si="21">SUM(G37:Z37)</f>
        <v>20</v>
      </c>
      <c r="E37" s="65"/>
      <c r="F37" s="66"/>
      <c r="G37" s="67">
        <v>2</v>
      </c>
      <c r="H37" s="68"/>
      <c r="I37" s="68">
        <v>2</v>
      </c>
      <c r="J37" s="67"/>
      <c r="K37" s="64">
        <v>2</v>
      </c>
      <c r="L37" s="65"/>
      <c r="M37" s="65">
        <v>2</v>
      </c>
      <c r="N37" s="65"/>
      <c r="O37" s="65">
        <v>2</v>
      </c>
      <c r="P37" s="65"/>
      <c r="Q37" s="64">
        <v>2</v>
      </c>
      <c r="R37" s="64"/>
      <c r="S37" s="65">
        <v>2</v>
      </c>
      <c r="T37" s="65"/>
      <c r="U37" s="65">
        <v>2</v>
      </c>
      <c r="V37" s="65"/>
      <c r="W37" s="65">
        <v>2</v>
      </c>
      <c r="X37" s="65"/>
      <c r="Y37" s="65">
        <v>2</v>
      </c>
      <c r="Z37" s="65"/>
      <c r="AA37" s="65"/>
      <c r="AB37" s="65"/>
      <c r="AC37" s="65"/>
      <c r="AD37" s="65"/>
      <c r="AE37" s="66" t="s">
        <v>44</v>
      </c>
      <c r="AM37" s="11"/>
      <c r="AN37" s="11"/>
      <c r="AO37" s="11"/>
      <c r="AP37" s="11"/>
      <c r="AQ37" s="11"/>
      <c r="AR37" s="11"/>
    </row>
    <row r="38" spans="1:44" s="4" customFormat="1">
      <c r="A38" s="84"/>
      <c r="B38" s="85"/>
      <c r="C38" s="71"/>
      <c r="D38" s="72"/>
      <c r="E38" s="72">
        <f t="shared" ref="E38" si="22">SUM(G38:Z38)</f>
        <v>20</v>
      </c>
      <c r="F38" s="73"/>
      <c r="G38" s="71"/>
      <c r="H38" s="72">
        <v>2</v>
      </c>
      <c r="I38" s="72"/>
      <c r="J38" s="71">
        <v>2</v>
      </c>
      <c r="K38" s="74"/>
      <c r="L38" s="75">
        <v>2</v>
      </c>
      <c r="M38" s="75"/>
      <c r="N38" s="75">
        <v>2</v>
      </c>
      <c r="O38" s="75"/>
      <c r="P38" s="75">
        <v>2</v>
      </c>
      <c r="Q38" s="71"/>
      <c r="R38" s="71">
        <v>2</v>
      </c>
      <c r="S38" s="72"/>
      <c r="T38" s="72">
        <v>2</v>
      </c>
      <c r="U38" s="72"/>
      <c r="V38" s="72">
        <v>2</v>
      </c>
      <c r="W38" s="72"/>
      <c r="X38" s="72">
        <v>2</v>
      </c>
      <c r="Y38" s="72"/>
      <c r="Z38" s="72">
        <v>2</v>
      </c>
      <c r="AA38" s="72"/>
      <c r="AB38" s="72"/>
      <c r="AC38" s="72"/>
      <c r="AD38" s="72"/>
      <c r="AE38" s="76"/>
      <c r="AM38" s="12"/>
      <c r="AN38" s="96"/>
      <c r="AO38" s="158"/>
      <c r="AP38" s="158"/>
      <c r="AQ38" s="11"/>
      <c r="AR38" s="11"/>
    </row>
    <row r="39" spans="1:44" s="4" customFormat="1" ht="19.5" thickBot="1">
      <c r="A39" s="88"/>
      <c r="B39" s="89"/>
      <c r="C39" s="79"/>
      <c r="D39" s="80"/>
      <c r="E39" s="80"/>
      <c r="F39" s="81">
        <f t="shared" ref="F39" si="23">SUM(G39:Z39)</f>
        <v>0</v>
      </c>
      <c r="G39" s="79"/>
      <c r="H39" s="80"/>
      <c r="I39" s="80"/>
      <c r="J39" s="79"/>
      <c r="K39" s="79"/>
      <c r="L39" s="80"/>
      <c r="M39" s="80"/>
      <c r="N39" s="80"/>
      <c r="O39" s="80"/>
      <c r="P39" s="80"/>
      <c r="Q39" s="79"/>
      <c r="R39" s="79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1">
        <v>36</v>
      </c>
      <c r="AM39" s="12"/>
      <c r="AN39" s="96"/>
      <c r="AO39" s="158"/>
      <c r="AP39" s="158"/>
      <c r="AQ39" s="11"/>
      <c r="AR39" s="11"/>
    </row>
    <row r="40" spans="1:44" ht="56.25">
      <c r="A40" s="82">
        <v>13</v>
      </c>
      <c r="B40" s="83" t="s">
        <v>59</v>
      </c>
      <c r="C40" s="64">
        <f t="shared" ref="C40" si="24">SUM(D40:F42)</f>
        <v>40</v>
      </c>
      <c r="D40" s="65">
        <f t="shared" ref="D40" si="25">SUM(G40:Z40)</f>
        <v>20</v>
      </c>
      <c r="E40" s="65"/>
      <c r="F40" s="66"/>
      <c r="G40" s="67">
        <v>2</v>
      </c>
      <c r="H40" s="68"/>
      <c r="I40" s="68">
        <v>2</v>
      </c>
      <c r="J40" s="67"/>
      <c r="K40" s="64">
        <v>2</v>
      </c>
      <c r="L40" s="65"/>
      <c r="M40" s="65">
        <v>2</v>
      </c>
      <c r="N40" s="65"/>
      <c r="O40" s="65">
        <v>2</v>
      </c>
      <c r="P40" s="65"/>
      <c r="Q40" s="64">
        <v>2</v>
      </c>
      <c r="R40" s="64"/>
      <c r="S40" s="65">
        <v>2</v>
      </c>
      <c r="T40" s="65"/>
      <c r="U40" s="65">
        <v>2</v>
      </c>
      <c r="V40" s="65"/>
      <c r="W40" s="65">
        <v>2</v>
      </c>
      <c r="X40" s="65"/>
      <c r="Y40" s="65">
        <v>2</v>
      </c>
      <c r="Z40" s="65"/>
      <c r="AA40" s="65"/>
      <c r="AB40" s="65"/>
      <c r="AC40" s="65"/>
      <c r="AD40" s="65"/>
      <c r="AE40" s="66" t="s">
        <v>15</v>
      </c>
    </row>
    <row r="41" spans="1:44">
      <c r="A41" s="84"/>
      <c r="B41" s="85"/>
      <c r="C41" s="71"/>
      <c r="D41" s="72"/>
      <c r="E41" s="72">
        <f t="shared" ref="E41" si="26">SUM(G41:Z41)</f>
        <v>14</v>
      </c>
      <c r="F41" s="73"/>
      <c r="G41" s="71"/>
      <c r="H41" s="72">
        <v>2</v>
      </c>
      <c r="I41" s="72"/>
      <c r="J41" s="71">
        <v>2</v>
      </c>
      <c r="K41" s="74"/>
      <c r="L41" s="75">
        <v>2</v>
      </c>
      <c r="M41" s="75"/>
      <c r="N41" s="75">
        <v>2</v>
      </c>
      <c r="O41" s="75"/>
      <c r="P41" s="75">
        <v>2</v>
      </c>
      <c r="Q41" s="71"/>
      <c r="R41" s="71">
        <v>2</v>
      </c>
      <c r="S41" s="72"/>
      <c r="T41" s="72">
        <v>2</v>
      </c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6"/>
    </row>
    <row r="42" spans="1:44" ht="19.5" thickBot="1">
      <c r="A42" s="88"/>
      <c r="B42" s="89"/>
      <c r="C42" s="79"/>
      <c r="D42" s="80"/>
      <c r="E42" s="80"/>
      <c r="F42" s="81">
        <f t="shared" ref="F42" si="27">SUM(G42:Z42)</f>
        <v>6</v>
      </c>
      <c r="G42" s="79"/>
      <c r="H42" s="80"/>
      <c r="I42" s="80"/>
      <c r="J42" s="79"/>
      <c r="K42" s="79"/>
      <c r="L42" s="80"/>
      <c r="M42" s="80"/>
      <c r="N42" s="80"/>
      <c r="O42" s="80"/>
      <c r="P42" s="80"/>
      <c r="Q42" s="79"/>
      <c r="R42" s="79"/>
      <c r="S42" s="80"/>
      <c r="T42" s="80"/>
      <c r="U42" s="80"/>
      <c r="V42" s="80">
        <v>2</v>
      </c>
      <c r="W42" s="80"/>
      <c r="X42" s="80">
        <v>2</v>
      </c>
      <c r="Y42" s="80"/>
      <c r="Z42" s="80">
        <v>2</v>
      </c>
      <c r="AA42" s="87"/>
      <c r="AB42" s="87"/>
      <c r="AC42" s="87"/>
      <c r="AD42" s="87"/>
      <c r="AE42" s="81">
        <v>9</v>
      </c>
    </row>
    <row r="43" spans="1:44" s="4" customFormat="1" ht="19.5" thickBot="1">
      <c r="A43" s="169" t="s">
        <v>35</v>
      </c>
      <c r="B43" s="170"/>
      <c r="C43" s="170"/>
      <c r="D43" s="170"/>
      <c r="E43" s="170"/>
      <c r="F43" s="170"/>
      <c r="G43" s="170"/>
      <c r="H43" s="170"/>
      <c r="I43" s="170"/>
      <c r="J43" s="170"/>
      <c r="K43" s="170"/>
      <c r="L43" s="170"/>
      <c r="M43" s="170"/>
      <c r="N43" s="170"/>
      <c r="O43" s="170"/>
      <c r="P43" s="170"/>
      <c r="Q43" s="170"/>
      <c r="R43" s="170"/>
      <c r="S43" s="170"/>
      <c r="T43" s="170"/>
      <c r="U43" s="170"/>
      <c r="V43" s="170"/>
      <c r="W43" s="170"/>
      <c r="X43" s="170"/>
      <c r="Y43" s="170"/>
      <c r="Z43" s="170"/>
      <c r="AA43" s="170"/>
      <c r="AB43" s="170"/>
      <c r="AC43" s="170"/>
      <c r="AD43" s="170"/>
      <c r="AE43" s="171"/>
      <c r="AM43" s="11"/>
      <c r="AN43" s="11"/>
      <c r="AO43" s="11"/>
      <c r="AP43" s="11"/>
      <c r="AQ43" s="11"/>
      <c r="AR43" s="11"/>
    </row>
    <row r="44" spans="1:44" s="4" customFormat="1" ht="19.5">
      <c r="A44" s="62">
        <v>13</v>
      </c>
      <c r="B44" s="63" t="s">
        <v>34</v>
      </c>
      <c r="C44" s="64">
        <f>SUM(D44:F46)</f>
        <v>36</v>
      </c>
      <c r="D44" s="65">
        <f>SUM(G44:X44)</f>
        <v>18</v>
      </c>
      <c r="E44" s="65"/>
      <c r="F44" s="66"/>
      <c r="G44" s="100">
        <v>2</v>
      </c>
      <c r="H44" s="101"/>
      <c r="I44" s="101">
        <v>2</v>
      </c>
      <c r="J44" s="101"/>
      <c r="K44" s="100">
        <v>2</v>
      </c>
      <c r="L44" s="101"/>
      <c r="M44" s="101">
        <v>2</v>
      </c>
      <c r="N44" s="101"/>
      <c r="O44" s="101">
        <v>2</v>
      </c>
      <c r="P44" s="101"/>
      <c r="Q44" s="100">
        <v>2</v>
      </c>
      <c r="R44" s="100"/>
      <c r="S44" s="101">
        <v>2</v>
      </c>
      <c r="T44" s="101"/>
      <c r="U44" s="101">
        <v>2</v>
      </c>
      <c r="V44" s="101"/>
      <c r="W44" s="101">
        <v>2</v>
      </c>
      <c r="X44" s="102"/>
      <c r="Y44" s="64"/>
      <c r="Z44" s="65"/>
      <c r="AA44" s="65"/>
      <c r="AB44" s="65"/>
      <c r="AC44" s="65"/>
      <c r="AD44" s="65"/>
      <c r="AE44" s="66" t="s">
        <v>15</v>
      </c>
    </row>
    <row r="45" spans="1:44" s="4" customFormat="1" ht="19.5">
      <c r="A45" s="69"/>
      <c r="B45" s="70"/>
      <c r="C45" s="71"/>
      <c r="D45" s="72"/>
      <c r="E45" s="72">
        <f>SUM(G45:X45)</f>
        <v>12</v>
      </c>
      <c r="F45" s="73"/>
      <c r="G45" s="103"/>
      <c r="H45" s="105">
        <v>2</v>
      </c>
      <c r="I45" s="105"/>
      <c r="J45" s="105">
        <v>2</v>
      </c>
      <c r="K45" s="110"/>
      <c r="L45" s="111">
        <v>2</v>
      </c>
      <c r="M45" s="111"/>
      <c r="N45" s="111">
        <v>2</v>
      </c>
      <c r="O45" s="111"/>
      <c r="P45" s="111">
        <v>2</v>
      </c>
      <c r="Q45" s="111"/>
      <c r="R45" s="111">
        <v>2</v>
      </c>
      <c r="S45" s="111"/>
      <c r="T45" s="111"/>
      <c r="U45" s="111"/>
      <c r="V45" s="111"/>
      <c r="W45" s="111"/>
      <c r="X45" s="106"/>
      <c r="Y45" s="71"/>
      <c r="Z45" s="72"/>
      <c r="AA45" s="72"/>
      <c r="AB45" s="72"/>
      <c r="AC45" s="72"/>
      <c r="AD45" s="72"/>
      <c r="AE45" s="76"/>
    </row>
    <row r="46" spans="1:44" s="4" customFormat="1" ht="21.75" customHeight="1" thickBot="1">
      <c r="A46" s="77"/>
      <c r="B46" s="78"/>
      <c r="C46" s="79"/>
      <c r="D46" s="80"/>
      <c r="E46" s="80"/>
      <c r="F46" s="81">
        <f>SUM(G46:X46)</f>
        <v>6</v>
      </c>
      <c r="G46" s="104"/>
      <c r="H46" s="108"/>
      <c r="I46" s="108"/>
      <c r="J46" s="108"/>
      <c r="K46" s="104"/>
      <c r="L46" s="108"/>
      <c r="M46" s="108"/>
      <c r="N46" s="108"/>
      <c r="O46" s="108"/>
      <c r="P46" s="108"/>
      <c r="Q46" s="104"/>
      <c r="R46" s="104"/>
      <c r="S46" s="108"/>
      <c r="T46" s="108">
        <v>2</v>
      </c>
      <c r="U46" s="108"/>
      <c r="V46" s="108">
        <v>2</v>
      </c>
      <c r="W46" s="108"/>
      <c r="X46" s="109">
        <v>2</v>
      </c>
      <c r="Y46" s="79"/>
      <c r="Z46" s="80"/>
      <c r="AA46" s="80"/>
      <c r="AB46" s="80"/>
      <c r="AC46" s="80"/>
      <c r="AD46" s="80"/>
      <c r="AE46" s="81">
        <v>18</v>
      </c>
      <c r="AM46" s="11"/>
      <c r="AN46" s="11"/>
      <c r="AO46" s="11"/>
      <c r="AP46" s="11"/>
      <c r="AQ46" s="11"/>
      <c r="AR46" s="11"/>
    </row>
    <row r="47" spans="1:44" s="4" customFormat="1" ht="19.5" thickBot="1">
      <c r="A47" s="169" t="s">
        <v>27</v>
      </c>
      <c r="B47" s="170"/>
      <c r="C47" s="170"/>
      <c r="D47" s="170"/>
      <c r="E47" s="170"/>
      <c r="F47" s="170"/>
      <c r="G47" s="170"/>
      <c r="H47" s="170"/>
      <c r="I47" s="170"/>
      <c r="J47" s="170"/>
      <c r="K47" s="170"/>
      <c r="L47" s="170"/>
      <c r="M47" s="170"/>
      <c r="N47" s="170"/>
      <c r="O47" s="170"/>
      <c r="P47" s="170"/>
      <c r="Q47" s="170"/>
      <c r="R47" s="170"/>
      <c r="S47" s="170"/>
      <c r="T47" s="170"/>
      <c r="U47" s="170"/>
      <c r="V47" s="170"/>
      <c r="W47" s="170"/>
      <c r="X47" s="170"/>
      <c r="Y47" s="170"/>
      <c r="Z47" s="170"/>
      <c r="AA47" s="170"/>
      <c r="AB47" s="170"/>
      <c r="AC47" s="170"/>
      <c r="AD47" s="170"/>
      <c r="AE47" s="171"/>
      <c r="AM47" s="12"/>
      <c r="AN47" s="96"/>
      <c r="AO47" s="158"/>
      <c r="AP47" s="158"/>
      <c r="AQ47" s="11"/>
      <c r="AR47" s="11"/>
    </row>
    <row r="48" spans="1:44" s="4" customFormat="1" ht="56.25">
      <c r="A48" s="82">
        <v>13</v>
      </c>
      <c r="B48" s="83" t="s">
        <v>36</v>
      </c>
      <c r="C48" s="64">
        <f t="shared" ref="C48" si="28">SUM(D48:F50)</f>
        <v>54</v>
      </c>
      <c r="D48" s="65">
        <f t="shared" ref="D48" si="29">SUM(G48:X48)</f>
        <v>18</v>
      </c>
      <c r="E48" s="65"/>
      <c r="F48" s="66"/>
      <c r="G48" s="67">
        <v>2</v>
      </c>
      <c r="H48" s="68"/>
      <c r="I48" s="68">
        <v>2</v>
      </c>
      <c r="J48" s="67"/>
      <c r="K48" s="64">
        <v>2</v>
      </c>
      <c r="L48" s="65"/>
      <c r="M48" s="65">
        <v>2</v>
      </c>
      <c r="N48" s="65"/>
      <c r="O48" s="65">
        <v>2</v>
      </c>
      <c r="P48" s="65"/>
      <c r="Q48" s="64">
        <v>2</v>
      </c>
      <c r="R48" s="64"/>
      <c r="S48" s="65">
        <v>2</v>
      </c>
      <c r="T48" s="65"/>
      <c r="U48" s="65">
        <v>2</v>
      </c>
      <c r="V48" s="65"/>
      <c r="W48" s="65">
        <v>2</v>
      </c>
      <c r="X48" s="66"/>
      <c r="Y48" s="64"/>
      <c r="Z48" s="65"/>
      <c r="AA48" s="65"/>
      <c r="AB48" s="65"/>
      <c r="AC48" s="65"/>
      <c r="AD48" s="65"/>
      <c r="AE48" s="66" t="s">
        <v>19</v>
      </c>
      <c r="AM48" s="11"/>
      <c r="AN48" s="11"/>
      <c r="AO48" s="11"/>
      <c r="AP48" s="11"/>
      <c r="AQ48" s="11"/>
      <c r="AR48" s="11"/>
    </row>
    <row r="49" spans="1:44" s="4" customFormat="1">
      <c r="A49" s="84"/>
      <c r="B49" s="85"/>
      <c r="C49" s="71"/>
      <c r="D49" s="72"/>
      <c r="E49" s="72">
        <f t="shared" ref="E49" si="30">SUM(G49:X49)</f>
        <v>36</v>
      </c>
      <c r="F49" s="73"/>
      <c r="G49" s="71"/>
      <c r="H49" s="71">
        <v>4</v>
      </c>
      <c r="I49" s="71"/>
      <c r="J49" s="71">
        <v>4</v>
      </c>
      <c r="K49" s="71"/>
      <c r="L49" s="71">
        <v>4</v>
      </c>
      <c r="M49" s="71"/>
      <c r="N49" s="71">
        <v>4</v>
      </c>
      <c r="O49" s="71"/>
      <c r="P49" s="71">
        <v>4</v>
      </c>
      <c r="Q49" s="71"/>
      <c r="R49" s="71">
        <v>4</v>
      </c>
      <c r="S49" s="71"/>
      <c r="T49" s="71">
        <v>4</v>
      </c>
      <c r="U49" s="71"/>
      <c r="V49" s="71">
        <v>4</v>
      </c>
      <c r="W49" s="71"/>
      <c r="X49" s="90">
        <v>4</v>
      </c>
      <c r="Y49" s="91"/>
      <c r="Z49" s="72"/>
      <c r="AA49" s="72"/>
      <c r="AB49" s="72"/>
      <c r="AC49" s="72"/>
      <c r="AD49" s="72"/>
      <c r="AE49" s="76"/>
      <c r="AM49" s="12"/>
      <c r="AN49" s="96"/>
      <c r="AO49" s="158"/>
      <c r="AP49" s="158"/>
      <c r="AQ49" s="11"/>
      <c r="AR49" s="11"/>
    </row>
    <row r="50" spans="1:44" s="4" customFormat="1" ht="19.5" thickBot="1">
      <c r="A50" s="88"/>
      <c r="B50" s="89"/>
      <c r="C50" s="79"/>
      <c r="D50" s="80"/>
      <c r="E50" s="80"/>
      <c r="F50" s="81">
        <f t="shared" ref="F50" si="31">SUM(G50:X50)</f>
        <v>0</v>
      </c>
      <c r="G50" s="79"/>
      <c r="H50" s="80"/>
      <c r="I50" s="80"/>
      <c r="J50" s="79"/>
      <c r="K50" s="79"/>
      <c r="L50" s="80"/>
      <c r="M50" s="80"/>
      <c r="N50" s="80"/>
      <c r="O50" s="80"/>
      <c r="P50" s="80"/>
      <c r="Q50" s="79"/>
      <c r="R50" s="79"/>
      <c r="S50" s="80"/>
      <c r="T50" s="80"/>
      <c r="U50" s="80"/>
      <c r="V50" s="80"/>
      <c r="W50" s="80"/>
      <c r="X50" s="92"/>
      <c r="Y50" s="86"/>
      <c r="Z50" s="87"/>
      <c r="AA50" s="87"/>
      <c r="AB50" s="87"/>
      <c r="AC50" s="87"/>
      <c r="AD50" s="87"/>
      <c r="AE50" s="81">
        <v>9</v>
      </c>
      <c r="AM50" s="12"/>
      <c r="AN50" s="96"/>
      <c r="AO50" s="158"/>
      <c r="AP50" s="158"/>
      <c r="AQ50" s="11"/>
      <c r="AR50" s="11"/>
    </row>
    <row r="51" spans="1:44" s="4" customFormat="1" ht="19.5" thickBot="1">
      <c r="A51" s="169" t="s">
        <v>24</v>
      </c>
      <c r="B51" s="170"/>
      <c r="C51" s="170"/>
      <c r="D51" s="170"/>
      <c r="E51" s="170"/>
      <c r="F51" s="170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  <c r="Z51" s="170"/>
      <c r="AA51" s="170"/>
      <c r="AB51" s="170"/>
      <c r="AC51" s="170"/>
      <c r="AD51" s="170"/>
      <c r="AE51" s="171"/>
      <c r="AM51" s="11"/>
      <c r="AN51" s="11"/>
      <c r="AO51" s="11"/>
      <c r="AP51" s="11"/>
      <c r="AQ51" s="11"/>
      <c r="AR51" s="11"/>
    </row>
    <row r="52" spans="1:44" s="4" customFormat="1" ht="56.25">
      <c r="A52" s="82">
        <v>13</v>
      </c>
      <c r="B52" s="83" t="s">
        <v>37</v>
      </c>
      <c r="C52" s="64">
        <f>SUM(D52:F54)</f>
        <v>54</v>
      </c>
      <c r="D52" s="65">
        <f>SUM(G52:X52)</f>
        <v>18</v>
      </c>
      <c r="E52" s="65"/>
      <c r="F52" s="66"/>
      <c r="G52" s="64">
        <v>2</v>
      </c>
      <c r="H52" s="65"/>
      <c r="I52" s="65">
        <v>2</v>
      </c>
      <c r="J52" s="65"/>
      <c r="K52" s="64">
        <v>2</v>
      </c>
      <c r="L52" s="65"/>
      <c r="M52" s="65">
        <v>2</v>
      </c>
      <c r="N52" s="65"/>
      <c r="O52" s="65">
        <v>2</v>
      </c>
      <c r="P52" s="65"/>
      <c r="Q52" s="64">
        <v>2</v>
      </c>
      <c r="R52" s="64"/>
      <c r="S52" s="65">
        <v>2</v>
      </c>
      <c r="T52" s="65"/>
      <c r="U52" s="65">
        <v>2</v>
      </c>
      <c r="V52" s="65"/>
      <c r="W52" s="65">
        <v>2</v>
      </c>
      <c r="X52" s="66"/>
      <c r="Y52" s="64"/>
      <c r="Z52" s="65"/>
      <c r="AA52" s="65"/>
      <c r="AB52" s="65"/>
      <c r="AC52" s="65"/>
      <c r="AD52" s="65"/>
      <c r="AE52" s="66" t="s">
        <v>15</v>
      </c>
      <c r="AM52" s="11"/>
      <c r="AN52" s="11"/>
      <c r="AO52" s="11"/>
      <c r="AP52" s="11"/>
      <c r="AQ52" s="11"/>
      <c r="AR52" s="11"/>
    </row>
    <row r="53" spans="1:44" s="4" customFormat="1">
      <c r="A53" s="84"/>
      <c r="B53" s="85"/>
      <c r="C53" s="71"/>
      <c r="D53" s="72"/>
      <c r="E53" s="72">
        <f>SUM(G53:X53)</f>
        <v>34</v>
      </c>
      <c r="F53" s="73"/>
      <c r="G53" s="71">
        <v>2</v>
      </c>
      <c r="H53" s="71">
        <v>2</v>
      </c>
      <c r="I53" s="71">
        <v>2</v>
      </c>
      <c r="J53" s="71">
        <v>2</v>
      </c>
      <c r="K53" s="71">
        <v>2</v>
      </c>
      <c r="L53" s="71">
        <v>2</v>
      </c>
      <c r="M53" s="71">
        <v>2</v>
      </c>
      <c r="N53" s="71">
        <v>2</v>
      </c>
      <c r="O53" s="71">
        <v>2</v>
      </c>
      <c r="P53" s="71">
        <v>2</v>
      </c>
      <c r="Q53" s="71">
        <v>2</v>
      </c>
      <c r="R53" s="71">
        <v>2</v>
      </c>
      <c r="S53" s="71">
        <v>2</v>
      </c>
      <c r="T53" s="71">
        <v>2</v>
      </c>
      <c r="U53" s="71">
        <v>2</v>
      </c>
      <c r="V53" s="71">
        <v>2</v>
      </c>
      <c r="W53" s="71">
        <v>2</v>
      </c>
      <c r="X53" s="73"/>
      <c r="Y53" s="71"/>
      <c r="Z53" s="72"/>
      <c r="AA53" s="72"/>
      <c r="AB53" s="72"/>
      <c r="AC53" s="72"/>
      <c r="AD53" s="72"/>
      <c r="AE53" s="76"/>
      <c r="AM53" s="12"/>
      <c r="AN53" s="96"/>
      <c r="AO53" s="158"/>
      <c r="AP53" s="158"/>
      <c r="AQ53" s="11"/>
      <c r="AR53" s="11"/>
    </row>
    <row r="54" spans="1:44" s="4" customFormat="1" ht="19.5" thickBot="1">
      <c r="A54" s="88"/>
      <c r="B54" s="89"/>
      <c r="C54" s="79"/>
      <c r="D54" s="80"/>
      <c r="E54" s="80"/>
      <c r="F54" s="81">
        <f>SUM(G54:X54)</f>
        <v>2</v>
      </c>
      <c r="G54" s="79"/>
      <c r="H54" s="80"/>
      <c r="I54" s="80"/>
      <c r="J54" s="80"/>
      <c r="K54" s="79"/>
      <c r="L54" s="80"/>
      <c r="M54" s="80"/>
      <c r="N54" s="80"/>
      <c r="O54" s="80"/>
      <c r="P54" s="80"/>
      <c r="Q54" s="79"/>
      <c r="R54" s="79"/>
      <c r="S54" s="80"/>
      <c r="T54" s="80"/>
      <c r="U54" s="80"/>
      <c r="V54" s="80"/>
      <c r="W54" s="80"/>
      <c r="X54" s="81">
        <v>2</v>
      </c>
      <c r="Y54" s="79"/>
      <c r="Z54" s="80"/>
      <c r="AA54" s="80"/>
      <c r="AB54" s="80"/>
      <c r="AC54" s="80"/>
      <c r="AD54" s="80"/>
      <c r="AE54" s="81">
        <v>9</v>
      </c>
      <c r="AM54" s="12"/>
      <c r="AN54" s="96"/>
      <c r="AO54" s="158"/>
      <c r="AP54" s="158"/>
      <c r="AQ54" s="11"/>
      <c r="AR54" s="11"/>
    </row>
    <row r="55" spans="1:44" s="4" customFormat="1" ht="19.5" thickBot="1">
      <c r="A55" s="169" t="s">
        <v>20</v>
      </c>
      <c r="B55" s="170"/>
      <c r="C55" s="170"/>
      <c r="D55" s="170"/>
      <c r="E55" s="170"/>
      <c r="F55" s="170"/>
      <c r="G55" s="170"/>
      <c r="H55" s="170"/>
      <c r="I55" s="170"/>
      <c r="J55" s="170"/>
      <c r="K55" s="170"/>
      <c r="L55" s="170"/>
      <c r="M55" s="170"/>
      <c r="N55" s="170"/>
      <c r="O55" s="170"/>
      <c r="P55" s="170"/>
      <c r="Q55" s="170"/>
      <c r="R55" s="170"/>
      <c r="S55" s="170"/>
      <c r="T55" s="170"/>
      <c r="U55" s="170"/>
      <c r="V55" s="170"/>
      <c r="W55" s="170"/>
      <c r="X55" s="170"/>
      <c r="Y55" s="170"/>
      <c r="Z55" s="170"/>
      <c r="AA55" s="170"/>
      <c r="AB55" s="170"/>
      <c r="AC55" s="170"/>
      <c r="AD55" s="170"/>
      <c r="AE55" s="171"/>
      <c r="AM55" s="11"/>
      <c r="AN55" s="11"/>
      <c r="AO55" s="11"/>
      <c r="AP55" s="11"/>
      <c r="AQ55" s="11"/>
      <c r="AR55" s="11"/>
    </row>
    <row r="56" spans="1:44" s="4" customFormat="1" ht="37.5">
      <c r="A56" s="82">
        <v>13</v>
      </c>
      <c r="B56" s="83" t="s">
        <v>31</v>
      </c>
      <c r="C56" s="64">
        <f>SUM(D56:F58)</f>
        <v>36</v>
      </c>
      <c r="D56" s="65">
        <f>SUM(G56:X56)</f>
        <v>18</v>
      </c>
      <c r="E56" s="65"/>
      <c r="F56" s="66"/>
      <c r="G56" s="67">
        <v>2</v>
      </c>
      <c r="H56" s="68"/>
      <c r="I56" s="68">
        <v>2</v>
      </c>
      <c r="J56" s="67"/>
      <c r="K56" s="64">
        <v>2</v>
      </c>
      <c r="L56" s="65"/>
      <c r="M56" s="65">
        <v>2</v>
      </c>
      <c r="N56" s="65"/>
      <c r="O56" s="65">
        <v>2</v>
      </c>
      <c r="P56" s="65"/>
      <c r="Q56" s="64">
        <v>2</v>
      </c>
      <c r="R56" s="64"/>
      <c r="S56" s="65">
        <v>2</v>
      </c>
      <c r="T56" s="65"/>
      <c r="U56" s="65">
        <v>2</v>
      </c>
      <c r="V56" s="65"/>
      <c r="W56" s="65">
        <v>2</v>
      </c>
      <c r="X56" s="66"/>
      <c r="Y56" s="64"/>
      <c r="Z56" s="65"/>
      <c r="AA56" s="65"/>
      <c r="AB56" s="65"/>
      <c r="AC56" s="65"/>
      <c r="AD56" s="65"/>
      <c r="AE56" s="66" t="s">
        <v>21</v>
      </c>
      <c r="AM56" s="11"/>
      <c r="AN56" s="11"/>
      <c r="AO56" s="11"/>
      <c r="AP56" s="11"/>
      <c r="AQ56" s="11"/>
      <c r="AR56" s="11"/>
    </row>
    <row r="57" spans="1:44" s="4" customFormat="1">
      <c r="A57" s="84"/>
      <c r="B57" s="85"/>
      <c r="C57" s="71"/>
      <c r="D57" s="72"/>
      <c r="E57" s="72">
        <f>SUM(G57:X57)</f>
        <v>14</v>
      </c>
      <c r="F57" s="73"/>
      <c r="G57" s="71"/>
      <c r="H57" s="71">
        <v>2</v>
      </c>
      <c r="I57" s="71"/>
      <c r="J57" s="71">
        <v>2</v>
      </c>
      <c r="K57" s="71"/>
      <c r="L57" s="71">
        <v>2</v>
      </c>
      <c r="M57" s="71"/>
      <c r="N57" s="71">
        <v>2</v>
      </c>
      <c r="O57" s="71"/>
      <c r="P57" s="71">
        <v>2</v>
      </c>
      <c r="Q57" s="71"/>
      <c r="R57" s="71">
        <v>2</v>
      </c>
      <c r="S57" s="71"/>
      <c r="T57" s="71">
        <v>2</v>
      </c>
      <c r="U57" s="71"/>
      <c r="V57" s="71"/>
      <c r="W57" s="71"/>
      <c r="X57" s="90"/>
      <c r="Y57" s="91"/>
      <c r="Z57" s="72"/>
      <c r="AA57" s="72"/>
      <c r="AB57" s="72"/>
      <c r="AC57" s="72"/>
      <c r="AD57" s="72"/>
      <c r="AE57" s="76"/>
      <c r="AM57" s="12"/>
      <c r="AN57" s="96"/>
      <c r="AO57" s="158"/>
      <c r="AP57" s="158"/>
      <c r="AQ57" s="11"/>
      <c r="AR57" s="11"/>
    </row>
    <row r="58" spans="1:44" s="4" customFormat="1" ht="19.5" thickBot="1">
      <c r="A58" s="88"/>
      <c r="B58" s="89"/>
      <c r="C58" s="79"/>
      <c r="D58" s="80"/>
      <c r="E58" s="80"/>
      <c r="F58" s="81">
        <f>SUM(G58:X58)</f>
        <v>4</v>
      </c>
      <c r="G58" s="79"/>
      <c r="H58" s="80"/>
      <c r="I58" s="80"/>
      <c r="J58" s="79"/>
      <c r="K58" s="79"/>
      <c r="L58" s="80"/>
      <c r="M58" s="80"/>
      <c r="N58" s="80"/>
      <c r="O58" s="80"/>
      <c r="P58" s="80"/>
      <c r="Q58" s="79"/>
      <c r="R58" s="79"/>
      <c r="S58" s="80"/>
      <c r="T58" s="80"/>
      <c r="U58" s="80"/>
      <c r="V58" s="80">
        <v>2</v>
      </c>
      <c r="W58" s="80"/>
      <c r="X58" s="92">
        <v>2</v>
      </c>
      <c r="Y58" s="79"/>
      <c r="Z58" s="80"/>
      <c r="AA58" s="80"/>
      <c r="AB58" s="80"/>
      <c r="AC58" s="80"/>
      <c r="AD58" s="80"/>
      <c r="AE58" s="81">
        <v>9</v>
      </c>
      <c r="AM58" s="12"/>
      <c r="AN58" s="96"/>
      <c r="AO58" s="158"/>
      <c r="AP58" s="158"/>
      <c r="AQ58" s="11"/>
      <c r="AR58" s="11"/>
    </row>
    <row r="59" spans="1:44" s="4" customFormat="1" ht="19.5" thickBot="1">
      <c r="A59" s="172" t="s">
        <v>26</v>
      </c>
      <c r="B59" s="172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M59" s="12"/>
      <c r="AN59" s="96"/>
      <c r="AO59" s="158"/>
      <c r="AP59" s="158"/>
      <c r="AQ59" s="11"/>
      <c r="AR59" s="11"/>
    </row>
    <row r="60" spans="1:44" s="4" customFormat="1" ht="52.5" customHeight="1" thickBot="1">
      <c r="A60" s="159" t="s">
        <v>45</v>
      </c>
      <c r="B60" s="159"/>
      <c r="C60" s="159"/>
      <c r="D60" s="159"/>
      <c r="E60" s="159"/>
      <c r="F60" s="159"/>
      <c r="G60" s="159"/>
      <c r="H60" s="159"/>
      <c r="I60" s="159"/>
      <c r="J60" s="159"/>
      <c r="K60" s="160"/>
      <c r="L60" s="160"/>
      <c r="M60" s="160"/>
      <c r="N60" s="160"/>
      <c r="O60" s="160"/>
      <c r="P60" s="160"/>
      <c r="Q60" s="159"/>
      <c r="R60" s="159"/>
      <c r="S60" s="159"/>
      <c r="T60" s="159"/>
      <c r="U60" s="159"/>
      <c r="V60" s="159"/>
      <c r="W60" s="159"/>
      <c r="X60" s="159"/>
      <c r="Y60" s="159"/>
      <c r="Z60" s="159"/>
      <c r="AA60" s="159"/>
      <c r="AB60" s="159"/>
      <c r="AC60" s="159"/>
      <c r="AD60" s="159"/>
      <c r="AE60" s="159"/>
    </row>
    <row r="61" spans="1:44" s="4" customFormat="1" ht="56.25">
      <c r="A61" s="62">
        <v>13</v>
      </c>
      <c r="B61" s="63" t="s">
        <v>46</v>
      </c>
      <c r="C61" s="64">
        <f t="shared" ref="C61" si="32">SUM(D61:F63)</f>
        <v>36</v>
      </c>
      <c r="D61" s="65">
        <f t="shared" ref="D61" si="33">SUM(G61:AD61)</f>
        <v>12</v>
      </c>
      <c r="E61" s="65"/>
      <c r="F61" s="66"/>
      <c r="G61" s="67">
        <v>2</v>
      </c>
      <c r="H61" s="68"/>
      <c r="I61" s="68">
        <v>2</v>
      </c>
      <c r="J61" s="67"/>
      <c r="K61" s="64">
        <v>2</v>
      </c>
      <c r="L61" s="65"/>
      <c r="M61" s="65">
        <v>2</v>
      </c>
      <c r="N61" s="65"/>
      <c r="O61" s="65">
        <v>2</v>
      </c>
      <c r="P61" s="65"/>
      <c r="Q61" s="64">
        <v>2</v>
      </c>
      <c r="R61" s="64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6" t="s">
        <v>15</v>
      </c>
    </row>
    <row r="62" spans="1:44" s="4" customFormat="1" ht="19.5">
      <c r="A62" s="69"/>
      <c r="B62" s="70"/>
      <c r="C62" s="71"/>
      <c r="D62" s="72"/>
      <c r="E62" s="72">
        <f t="shared" ref="E62" si="34">SUM(G62:AD62)</f>
        <v>24</v>
      </c>
      <c r="F62" s="73"/>
      <c r="G62" s="71">
        <v>2</v>
      </c>
      <c r="H62" s="71">
        <v>2</v>
      </c>
      <c r="I62" s="71">
        <v>2</v>
      </c>
      <c r="J62" s="71">
        <v>2</v>
      </c>
      <c r="K62" s="71">
        <v>2</v>
      </c>
      <c r="L62" s="71">
        <v>2</v>
      </c>
      <c r="M62" s="71">
        <v>2</v>
      </c>
      <c r="N62" s="71">
        <v>2</v>
      </c>
      <c r="O62" s="71">
        <v>2</v>
      </c>
      <c r="P62" s="71">
        <v>2</v>
      </c>
      <c r="Q62" s="71">
        <v>2</v>
      </c>
      <c r="R62" s="71">
        <v>2</v>
      </c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6"/>
    </row>
    <row r="63" spans="1:44" s="4" customFormat="1" ht="21.75" customHeight="1" thickBot="1">
      <c r="A63" s="77"/>
      <c r="B63" s="78"/>
      <c r="C63" s="79"/>
      <c r="D63" s="80"/>
      <c r="E63" s="80"/>
      <c r="F63" s="81">
        <f t="shared" ref="F63" si="35">SUM(G63:AD63)</f>
        <v>0</v>
      </c>
      <c r="G63" s="79"/>
      <c r="H63" s="80"/>
      <c r="I63" s="80"/>
      <c r="J63" s="79"/>
      <c r="K63" s="79"/>
      <c r="L63" s="80"/>
      <c r="M63" s="80"/>
      <c r="N63" s="80"/>
      <c r="O63" s="80"/>
      <c r="P63" s="80"/>
      <c r="Q63" s="79"/>
      <c r="R63" s="79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1">
        <v>18</v>
      </c>
      <c r="AM63" s="11"/>
      <c r="AN63" s="11"/>
      <c r="AO63" s="11"/>
      <c r="AP63" s="11"/>
      <c r="AQ63" s="11"/>
      <c r="AR63" s="11"/>
    </row>
    <row r="64" spans="1:44" s="4" customFormat="1" ht="37.5">
      <c r="A64" s="82">
        <v>13</v>
      </c>
      <c r="B64" s="83" t="s">
        <v>47</v>
      </c>
      <c r="C64" s="64">
        <f t="shared" ref="C64" si="36">SUM(D64:F66)</f>
        <v>60</v>
      </c>
      <c r="D64" s="65">
        <f t="shared" ref="D64" si="37">SUM(G64:AD64)</f>
        <v>36</v>
      </c>
      <c r="E64" s="65"/>
      <c r="F64" s="66"/>
      <c r="G64" s="64">
        <v>4</v>
      </c>
      <c r="H64" s="65">
        <v>2</v>
      </c>
      <c r="I64" s="65">
        <v>4</v>
      </c>
      <c r="J64" s="64">
        <v>2</v>
      </c>
      <c r="K64" s="64">
        <v>4</v>
      </c>
      <c r="L64" s="65">
        <v>2</v>
      </c>
      <c r="M64" s="65">
        <v>4</v>
      </c>
      <c r="N64" s="65">
        <v>2</v>
      </c>
      <c r="O64" s="65">
        <v>4</v>
      </c>
      <c r="P64" s="65">
        <v>2</v>
      </c>
      <c r="Q64" s="64">
        <v>4</v>
      </c>
      <c r="R64" s="64">
        <v>2</v>
      </c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6" t="s">
        <v>19</v>
      </c>
      <c r="AM64" s="11"/>
      <c r="AN64" s="11"/>
      <c r="AO64" s="11"/>
      <c r="AP64" s="11"/>
      <c r="AQ64" s="11"/>
      <c r="AR64" s="11"/>
    </row>
    <row r="65" spans="1:44" s="4" customFormat="1">
      <c r="A65" s="84"/>
      <c r="B65" s="85"/>
      <c r="C65" s="71"/>
      <c r="D65" s="72"/>
      <c r="E65" s="72">
        <f t="shared" ref="E65" si="38">SUM(G65:AD65)</f>
        <v>24</v>
      </c>
      <c r="F65" s="73"/>
      <c r="G65" s="71">
        <v>2</v>
      </c>
      <c r="H65" s="71">
        <v>2</v>
      </c>
      <c r="I65" s="71">
        <v>2</v>
      </c>
      <c r="J65" s="71">
        <v>2</v>
      </c>
      <c r="K65" s="71">
        <v>2</v>
      </c>
      <c r="L65" s="71">
        <v>2</v>
      </c>
      <c r="M65" s="71">
        <v>2</v>
      </c>
      <c r="N65" s="71">
        <v>2</v>
      </c>
      <c r="O65" s="71">
        <v>2</v>
      </c>
      <c r="P65" s="71">
        <v>2</v>
      </c>
      <c r="Q65" s="71">
        <v>2</v>
      </c>
      <c r="R65" s="71">
        <v>2</v>
      </c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6"/>
      <c r="AM65" s="12"/>
      <c r="AN65" s="96"/>
      <c r="AO65" s="158"/>
      <c r="AP65" s="158"/>
      <c r="AQ65" s="11"/>
      <c r="AR65" s="11"/>
    </row>
    <row r="66" spans="1:44" s="4" customFormat="1" ht="19.5" thickBot="1">
      <c r="A66" s="88"/>
      <c r="B66" s="127"/>
      <c r="C66" s="97"/>
      <c r="D66" s="128"/>
      <c r="E66" s="128"/>
      <c r="F66" s="107">
        <f t="shared" ref="F66" si="39">SUM(G66:AD66)</f>
        <v>0</v>
      </c>
      <c r="G66" s="97"/>
      <c r="H66" s="128"/>
      <c r="I66" s="128"/>
      <c r="J66" s="97"/>
      <c r="K66" s="116"/>
      <c r="L66" s="129"/>
      <c r="M66" s="129"/>
      <c r="N66" s="129"/>
      <c r="O66" s="129"/>
      <c r="P66" s="129"/>
      <c r="Q66" s="116"/>
      <c r="R66" s="116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07">
        <v>9</v>
      </c>
      <c r="AM66" s="12"/>
      <c r="AN66" s="96"/>
      <c r="AO66" s="158"/>
      <c r="AP66" s="158"/>
      <c r="AQ66" s="11"/>
      <c r="AR66" s="11"/>
    </row>
    <row r="67" spans="1:44" s="4" customFormat="1" ht="30.75" customHeight="1" thickBot="1">
      <c r="A67" s="170" t="s">
        <v>48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0"/>
      <c r="P67" s="170"/>
      <c r="Q67" s="170"/>
      <c r="R67" s="170"/>
      <c r="S67" s="170"/>
      <c r="T67" s="170"/>
      <c r="U67" s="170"/>
      <c r="V67" s="170"/>
      <c r="W67" s="170"/>
      <c r="X67" s="170"/>
      <c r="Y67" s="170"/>
      <c r="Z67" s="170"/>
      <c r="AA67" s="170"/>
      <c r="AB67" s="170"/>
      <c r="AC67" s="170"/>
      <c r="AD67" s="170"/>
      <c r="AE67" s="170"/>
    </row>
    <row r="68" spans="1:44" s="4" customFormat="1" ht="56.25">
      <c r="A68" s="62">
        <v>13</v>
      </c>
      <c r="B68" s="63" t="s">
        <v>46</v>
      </c>
      <c r="C68" s="64">
        <f t="shared" ref="C68" si="40">SUM(D68:F70)</f>
        <v>36</v>
      </c>
      <c r="D68" s="65">
        <f t="shared" ref="D68" si="41">SUM(G68:AD68)</f>
        <v>12</v>
      </c>
      <c r="E68" s="65"/>
      <c r="F68" s="66"/>
      <c r="G68" s="67">
        <v>2</v>
      </c>
      <c r="H68" s="124"/>
      <c r="I68" s="161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3"/>
      <c r="U68" s="64">
        <v>2</v>
      </c>
      <c r="V68" s="65"/>
      <c r="W68" s="65">
        <v>2</v>
      </c>
      <c r="X68" s="65"/>
      <c r="Y68" s="65">
        <v>2</v>
      </c>
      <c r="Z68" s="65"/>
      <c r="AA68" s="65">
        <v>4</v>
      </c>
      <c r="AB68" s="66"/>
      <c r="AC68" s="64"/>
      <c r="AD68" s="65"/>
      <c r="AE68" s="66" t="s">
        <v>15</v>
      </c>
    </row>
    <row r="69" spans="1:44" s="4" customFormat="1" ht="19.5">
      <c r="A69" s="69"/>
      <c r="B69" s="70"/>
      <c r="C69" s="71"/>
      <c r="D69" s="72"/>
      <c r="E69" s="72">
        <f t="shared" ref="E69" si="42">SUM(G69:AD69)</f>
        <v>24</v>
      </c>
      <c r="F69" s="73"/>
      <c r="G69" s="71">
        <v>2</v>
      </c>
      <c r="H69" s="90">
        <v>2</v>
      </c>
      <c r="I69" s="164"/>
      <c r="J69" s="160"/>
      <c r="K69" s="160"/>
      <c r="L69" s="160"/>
      <c r="M69" s="160"/>
      <c r="N69" s="160"/>
      <c r="O69" s="160"/>
      <c r="P69" s="160"/>
      <c r="Q69" s="160"/>
      <c r="R69" s="160"/>
      <c r="S69" s="160"/>
      <c r="T69" s="165"/>
      <c r="U69" s="71">
        <v>2</v>
      </c>
      <c r="V69" s="72">
        <v>2</v>
      </c>
      <c r="W69" s="72">
        <v>2</v>
      </c>
      <c r="X69" s="72">
        <v>2</v>
      </c>
      <c r="Y69" s="72">
        <v>2</v>
      </c>
      <c r="Z69" s="72">
        <v>2</v>
      </c>
      <c r="AA69" s="72">
        <v>4</v>
      </c>
      <c r="AB69" s="73">
        <v>4</v>
      </c>
      <c r="AC69" s="71"/>
      <c r="AD69" s="72"/>
      <c r="AE69" s="76"/>
    </row>
    <row r="70" spans="1:44" s="4" customFormat="1" ht="21.75" customHeight="1" thickBot="1">
      <c r="A70" s="77"/>
      <c r="B70" s="78"/>
      <c r="C70" s="79"/>
      <c r="D70" s="80"/>
      <c r="E70" s="80"/>
      <c r="F70" s="81">
        <f t="shared" ref="F70" si="43">SUM(G70:AD70)</f>
        <v>0</v>
      </c>
      <c r="G70" s="79"/>
      <c r="H70" s="125"/>
      <c r="I70" s="164"/>
      <c r="J70" s="160"/>
      <c r="K70" s="160"/>
      <c r="L70" s="160"/>
      <c r="M70" s="160"/>
      <c r="N70" s="160"/>
      <c r="O70" s="160"/>
      <c r="P70" s="160"/>
      <c r="Q70" s="160"/>
      <c r="R70" s="160"/>
      <c r="S70" s="160"/>
      <c r="T70" s="165"/>
      <c r="U70" s="79"/>
      <c r="V70" s="80"/>
      <c r="W70" s="80"/>
      <c r="X70" s="80"/>
      <c r="Y70" s="80"/>
      <c r="Z70" s="80"/>
      <c r="AA70" s="80"/>
      <c r="AB70" s="81"/>
      <c r="AC70" s="79"/>
      <c r="AD70" s="80"/>
      <c r="AE70" s="81">
        <v>18</v>
      </c>
      <c r="AM70" s="11"/>
      <c r="AN70" s="11"/>
      <c r="AO70" s="11"/>
      <c r="AP70" s="11"/>
      <c r="AQ70" s="11"/>
      <c r="AR70" s="11"/>
    </row>
    <row r="71" spans="1:44" s="4" customFormat="1" ht="37.5">
      <c r="A71" s="82">
        <v>13</v>
      </c>
      <c r="B71" s="83" t="s">
        <v>47</v>
      </c>
      <c r="C71" s="64">
        <f t="shared" ref="C71" si="44">SUM(D71:F73)</f>
        <v>60</v>
      </c>
      <c r="D71" s="65">
        <f t="shared" ref="D71" si="45">SUM(G71:AD71)</f>
        <v>36</v>
      </c>
      <c r="E71" s="65"/>
      <c r="F71" s="66"/>
      <c r="G71" s="64">
        <v>4</v>
      </c>
      <c r="H71" s="126">
        <v>4</v>
      </c>
      <c r="I71" s="164"/>
      <c r="J71" s="160"/>
      <c r="K71" s="160"/>
      <c r="L71" s="160"/>
      <c r="M71" s="160"/>
      <c r="N71" s="160"/>
      <c r="O71" s="160"/>
      <c r="P71" s="160"/>
      <c r="Q71" s="160"/>
      <c r="R71" s="160"/>
      <c r="S71" s="160"/>
      <c r="T71" s="165"/>
      <c r="U71" s="64">
        <v>4</v>
      </c>
      <c r="V71" s="65">
        <v>4</v>
      </c>
      <c r="W71" s="65">
        <v>4</v>
      </c>
      <c r="X71" s="65">
        <v>4</v>
      </c>
      <c r="Y71" s="65">
        <v>4</v>
      </c>
      <c r="Z71" s="65">
        <v>4</v>
      </c>
      <c r="AA71" s="65">
        <v>2</v>
      </c>
      <c r="AB71" s="66">
        <v>2</v>
      </c>
      <c r="AC71" s="64"/>
      <c r="AD71" s="65"/>
      <c r="AE71" s="66" t="s">
        <v>19</v>
      </c>
      <c r="AM71" s="11"/>
      <c r="AN71" s="11"/>
      <c r="AO71" s="11"/>
      <c r="AP71" s="11"/>
      <c r="AQ71" s="11"/>
      <c r="AR71" s="11"/>
    </row>
    <row r="72" spans="1:44" s="4" customFormat="1">
      <c r="A72" s="84"/>
      <c r="B72" s="85"/>
      <c r="C72" s="71"/>
      <c r="D72" s="72"/>
      <c r="E72" s="72">
        <f t="shared" ref="E72" si="46">SUM(G72:AD72)</f>
        <v>24</v>
      </c>
      <c r="F72" s="73"/>
      <c r="G72" s="71">
        <v>2</v>
      </c>
      <c r="H72" s="90">
        <v>2</v>
      </c>
      <c r="I72" s="164"/>
      <c r="J72" s="160"/>
      <c r="K72" s="160"/>
      <c r="L72" s="160"/>
      <c r="M72" s="160"/>
      <c r="N72" s="160"/>
      <c r="O72" s="160"/>
      <c r="P72" s="160"/>
      <c r="Q72" s="160"/>
      <c r="R72" s="160"/>
      <c r="S72" s="160"/>
      <c r="T72" s="165"/>
      <c r="U72" s="71">
        <v>2</v>
      </c>
      <c r="V72" s="72">
        <v>2</v>
      </c>
      <c r="W72" s="72">
        <v>2</v>
      </c>
      <c r="X72" s="72">
        <v>2</v>
      </c>
      <c r="Y72" s="72">
        <v>2</v>
      </c>
      <c r="Z72" s="72">
        <v>2</v>
      </c>
      <c r="AA72" s="72">
        <v>4</v>
      </c>
      <c r="AB72" s="73">
        <v>4</v>
      </c>
      <c r="AC72" s="71"/>
      <c r="AD72" s="72"/>
      <c r="AE72" s="76"/>
      <c r="AM72" s="12"/>
      <c r="AN72" s="96"/>
      <c r="AO72" s="158"/>
      <c r="AP72" s="158"/>
      <c r="AQ72" s="11"/>
      <c r="AR72" s="11"/>
    </row>
    <row r="73" spans="1:44" s="4" customFormat="1" ht="19.5" thickBot="1">
      <c r="A73" s="88"/>
      <c r="B73" s="89"/>
      <c r="C73" s="79"/>
      <c r="D73" s="80"/>
      <c r="E73" s="80"/>
      <c r="F73" s="81">
        <f t="shared" ref="F73" si="47">SUM(G73:AD73)</f>
        <v>0</v>
      </c>
      <c r="G73" s="79"/>
      <c r="H73" s="125"/>
      <c r="I73" s="166"/>
      <c r="J73" s="167"/>
      <c r="K73" s="167"/>
      <c r="L73" s="167"/>
      <c r="M73" s="167"/>
      <c r="N73" s="167"/>
      <c r="O73" s="167"/>
      <c r="P73" s="167"/>
      <c r="Q73" s="167"/>
      <c r="R73" s="167"/>
      <c r="S73" s="167"/>
      <c r="T73" s="168"/>
      <c r="U73" s="86"/>
      <c r="V73" s="87"/>
      <c r="W73" s="87"/>
      <c r="X73" s="87"/>
      <c r="Y73" s="87"/>
      <c r="Z73" s="87"/>
      <c r="AA73" s="87"/>
      <c r="AB73" s="92"/>
      <c r="AC73" s="86"/>
      <c r="AD73" s="87"/>
      <c r="AE73" s="81">
        <v>9</v>
      </c>
      <c r="AM73" s="12"/>
      <c r="AN73" s="96"/>
      <c r="AO73" s="158"/>
      <c r="AP73" s="158"/>
      <c r="AQ73" s="11"/>
      <c r="AR73" s="11"/>
    </row>
    <row r="74" spans="1:44" s="4" customFormat="1" ht="31.5" customHeight="1" thickBot="1">
      <c r="A74" s="170" t="s">
        <v>42</v>
      </c>
      <c r="B74" s="170"/>
      <c r="C74" s="170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70"/>
      <c r="T74" s="170"/>
      <c r="U74" s="170"/>
      <c r="V74" s="170"/>
      <c r="W74" s="170"/>
      <c r="X74" s="170"/>
      <c r="Y74" s="170"/>
      <c r="Z74" s="170"/>
      <c r="AA74" s="170"/>
      <c r="AB74" s="170"/>
      <c r="AC74" s="170"/>
      <c r="AD74" s="170"/>
      <c r="AE74" s="170"/>
    </row>
    <row r="75" spans="1:44" s="4" customFormat="1" ht="75">
      <c r="A75" s="82">
        <v>13</v>
      </c>
      <c r="B75" s="83" t="s">
        <v>43</v>
      </c>
      <c r="C75" s="64">
        <f t="shared" ref="C75" si="48">SUM(D75:F77)</f>
        <v>84</v>
      </c>
      <c r="D75" s="65">
        <f t="shared" ref="D75" si="49">SUM(G75:M75,Z75:AC75)</f>
        <v>36</v>
      </c>
      <c r="E75" s="65"/>
      <c r="F75" s="66"/>
      <c r="G75" s="64">
        <v>4</v>
      </c>
      <c r="H75" s="65">
        <v>2</v>
      </c>
      <c r="I75" s="65">
        <v>4</v>
      </c>
      <c r="J75" s="64">
        <v>2</v>
      </c>
      <c r="K75" s="64">
        <v>4</v>
      </c>
      <c r="L75" s="122">
        <v>2</v>
      </c>
      <c r="M75" s="122">
        <v>4</v>
      </c>
      <c r="N75" s="173"/>
      <c r="O75" s="174"/>
      <c r="P75" s="174"/>
      <c r="Q75" s="174"/>
      <c r="R75" s="174"/>
      <c r="S75" s="174"/>
      <c r="T75" s="174"/>
      <c r="U75" s="174"/>
      <c r="V75" s="174"/>
      <c r="W75" s="174"/>
      <c r="X75" s="174"/>
      <c r="Y75" s="175"/>
      <c r="Z75" s="64">
        <v>4</v>
      </c>
      <c r="AA75" s="65">
        <v>2</v>
      </c>
      <c r="AB75" s="65">
        <v>4</v>
      </c>
      <c r="AC75" s="66">
        <v>4</v>
      </c>
      <c r="AD75" s="64"/>
      <c r="AE75" s="66" t="s">
        <v>44</v>
      </c>
      <c r="AM75" s="11"/>
      <c r="AN75" s="11"/>
      <c r="AO75" s="11"/>
      <c r="AP75" s="11"/>
      <c r="AQ75" s="11"/>
      <c r="AR75" s="11"/>
    </row>
    <row r="76" spans="1:44" s="4" customFormat="1">
      <c r="A76" s="84"/>
      <c r="B76" s="85"/>
      <c r="C76" s="71"/>
      <c r="D76" s="72"/>
      <c r="E76" s="72">
        <f t="shared" ref="E76" si="50">SUM(G76:M76,Z76:AC76)</f>
        <v>40</v>
      </c>
      <c r="F76" s="73"/>
      <c r="G76" s="71">
        <v>4</v>
      </c>
      <c r="H76" s="71">
        <v>4</v>
      </c>
      <c r="I76" s="71">
        <v>4</v>
      </c>
      <c r="J76" s="71">
        <v>4</v>
      </c>
      <c r="K76" s="71">
        <v>4</v>
      </c>
      <c r="L76" s="71">
        <v>4</v>
      </c>
      <c r="M76" s="90">
        <v>4</v>
      </c>
      <c r="N76" s="176"/>
      <c r="O76" s="177"/>
      <c r="P76" s="177"/>
      <c r="Q76" s="177"/>
      <c r="R76" s="177"/>
      <c r="S76" s="177"/>
      <c r="T76" s="177"/>
      <c r="U76" s="177"/>
      <c r="V76" s="177"/>
      <c r="W76" s="177"/>
      <c r="X76" s="177"/>
      <c r="Y76" s="178"/>
      <c r="Z76" s="71">
        <v>2</v>
      </c>
      <c r="AA76" s="71">
        <v>4</v>
      </c>
      <c r="AB76" s="71">
        <v>2</v>
      </c>
      <c r="AC76" s="73">
        <v>4</v>
      </c>
      <c r="AD76" s="71"/>
      <c r="AE76" s="76"/>
      <c r="AM76" s="12"/>
      <c r="AN76" s="96"/>
      <c r="AO76" s="158"/>
      <c r="AP76" s="158"/>
      <c r="AQ76" s="11"/>
      <c r="AR76" s="11"/>
    </row>
    <row r="77" spans="1:44" s="4" customFormat="1" ht="19.5" thickBot="1">
      <c r="A77" s="88"/>
      <c r="B77" s="89"/>
      <c r="C77" s="79"/>
      <c r="D77" s="80"/>
      <c r="E77" s="80"/>
      <c r="F77" s="81">
        <f t="shared" ref="F77" si="51">SUM(G77:M77,Z77:AC77)</f>
        <v>8</v>
      </c>
      <c r="G77" s="79"/>
      <c r="H77" s="80"/>
      <c r="I77" s="80"/>
      <c r="J77" s="79"/>
      <c r="K77" s="86"/>
      <c r="L77" s="123"/>
      <c r="M77" s="123"/>
      <c r="N77" s="179"/>
      <c r="O77" s="180"/>
      <c r="P77" s="180"/>
      <c r="Q77" s="180"/>
      <c r="R77" s="180"/>
      <c r="S77" s="180"/>
      <c r="T77" s="180"/>
      <c r="U77" s="180"/>
      <c r="V77" s="180"/>
      <c r="W77" s="180"/>
      <c r="X77" s="180"/>
      <c r="Y77" s="181"/>
      <c r="Z77" s="86">
        <v>2</v>
      </c>
      <c r="AA77" s="87">
        <v>2</v>
      </c>
      <c r="AB77" s="87">
        <v>2</v>
      </c>
      <c r="AC77" s="92">
        <v>2</v>
      </c>
      <c r="AD77" s="86"/>
      <c r="AE77" s="81">
        <v>27</v>
      </c>
      <c r="AM77" s="12"/>
      <c r="AN77" s="96"/>
      <c r="AO77" s="158"/>
      <c r="AP77" s="158"/>
      <c r="AQ77" s="11"/>
      <c r="AR77" s="11"/>
    </row>
    <row r="78" spans="1:44" s="4" customFormat="1" ht="19.5" thickBot="1">
      <c r="A78" s="159" t="s">
        <v>60</v>
      </c>
      <c r="B78" s="159"/>
      <c r="C78" s="159"/>
      <c r="D78" s="159"/>
      <c r="E78" s="159"/>
      <c r="F78" s="159"/>
      <c r="G78" s="159"/>
      <c r="H78" s="159"/>
      <c r="I78" s="159"/>
      <c r="J78" s="159"/>
      <c r="K78" s="160"/>
      <c r="L78" s="160"/>
      <c r="M78" s="160"/>
      <c r="N78" s="160"/>
      <c r="O78" s="160"/>
      <c r="P78" s="160"/>
      <c r="Q78" s="159"/>
      <c r="R78" s="159"/>
      <c r="S78" s="159"/>
      <c r="T78" s="159"/>
      <c r="U78" s="159"/>
      <c r="V78" s="159"/>
      <c r="W78" s="159"/>
      <c r="X78" s="159"/>
      <c r="Y78" s="159"/>
      <c r="Z78" s="159"/>
      <c r="AA78" s="159"/>
      <c r="AB78" s="159"/>
      <c r="AC78" s="159"/>
      <c r="AD78" s="159"/>
      <c r="AE78" s="159"/>
      <c r="AM78" s="12"/>
      <c r="AN78" s="96"/>
      <c r="AO78" s="157"/>
      <c r="AP78" s="157"/>
      <c r="AQ78" s="11"/>
      <c r="AR78" s="11"/>
    </row>
    <row r="79" spans="1:44" s="4" customFormat="1" ht="56.25">
      <c r="A79" s="82">
        <v>13</v>
      </c>
      <c r="B79" s="83" t="s">
        <v>36</v>
      </c>
      <c r="C79" s="64">
        <f t="shared" ref="C79" si="52">SUM(D79:F81)</f>
        <v>72</v>
      </c>
      <c r="D79" s="65">
        <f t="shared" ref="D79" si="53">SUM(G79:X79)</f>
        <v>36</v>
      </c>
      <c r="E79" s="65"/>
      <c r="F79" s="66"/>
      <c r="G79" s="67">
        <v>2</v>
      </c>
      <c r="H79" s="67">
        <v>2</v>
      </c>
      <c r="I79" s="67">
        <v>2</v>
      </c>
      <c r="J79" s="67">
        <v>2</v>
      </c>
      <c r="K79" s="67">
        <v>2</v>
      </c>
      <c r="L79" s="67">
        <v>2</v>
      </c>
      <c r="M79" s="67">
        <v>2</v>
      </c>
      <c r="N79" s="67">
        <v>2</v>
      </c>
      <c r="O79" s="67">
        <v>2</v>
      </c>
      <c r="P79" s="67">
        <v>2</v>
      </c>
      <c r="Q79" s="67">
        <v>2</v>
      </c>
      <c r="R79" s="67">
        <v>2</v>
      </c>
      <c r="S79" s="67">
        <v>2</v>
      </c>
      <c r="T79" s="67">
        <v>2</v>
      </c>
      <c r="U79" s="67">
        <v>2</v>
      </c>
      <c r="V79" s="67">
        <v>2</v>
      </c>
      <c r="W79" s="67">
        <v>2</v>
      </c>
      <c r="X79" s="67">
        <v>2</v>
      </c>
      <c r="Y79" s="65"/>
      <c r="Z79" s="65"/>
      <c r="AA79" s="65"/>
      <c r="AB79" s="65"/>
      <c r="AC79" s="65"/>
      <c r="AD79" s="65"/>
      <c r="AE79" s="66" t="s">
        <v>19</v>
      </c>
      <c r="AM79" s="11"/>
      <c r="AN79" s="11"/>
      <c r="AO79" s="11"/>
      <c r="AP79" s="11"/>
      <c r="AQ79" s="11"/>
      <c r="AR79" s="11"/>
    </row>
    <row r="80" spans="1:44" s="4" customFormat="1">
      <c r="A80" s="84"/>
      <c r="B80" s="85"/>
      <c r="C80" s="71"/>
      <c r="D80" s="72"/>
      <c r="E80" s="72">
        <f t="shared" ref="E80" si="54">SUM(G80:X80)</f>
        <v>34</v>
      </c>
      <c r="F80" s="73"/>
      <c r="G80" s="71">
        <v>2</v>
      </c>
      <c r="H80" s="71">
        <v>2</v>
      </c>
      <c r="I80" s="71">
        <v>2</v>
      </c>
      <c r="J80" s="71">
        <v>2</v>
      </c>
      <c r="K80" s="71">
        <v>2</v>
      </c>
      <c r="L80" s="71">
        <v>2</v>
      </c>
      <c r="M80" s="71">
        <v>2</v>
      </c>
      <c r="N80" s="71">
        <v>2</v>
      </c>
      <c r="O80" s="71">
        <v>2</v>
      </c>
      <c r="P80" s="71">
        <v>2</v>
      </c>
      <c r="Q80" s="71">
        <v>2</v>
      </c>
      <c r="R80" s="71">
        <v>2</v>
      </c>
      <c r="S80" s="71">
        <v>2</v>
      </c>
      <c r="T80" s="71">
        <v>2</v>
      </c>
      <c r="U80" s="71">
        <v>2</v>
      </c>
      <c r="V80" s="71">
        <v>2</v>
      </c>
      <c r="W80" s="71">
        <v>2</v>
      </c>
      <c r="X80" s="72"/>
      <c r="Y80" s="72"/>
      <c r="Z80" s="72"/>
      <c r="AA80" s="72"/>
      <c r="AB80" s="72"/>
      <c r="AC80" s="72"/>
      <c r="AD80" s="72"/>
      <c r="AE80" s="76"/>
      <c r="AM80" s="12"/>
      <c r="AN80" s="96"/>
      <c r="AO80" s="158"/>
      <c r="AP80" s="158"/>
      <c r="AQ80" s="11"/>
      <c r="AR80" s="11"/>
    </row>
    <row r="81" spans="1:44" s="4" customFormat="1" ht="19.5" thickBot="1">
      <c r="A81" s="88"/>
      <c r="B81" s="89"/>
      <c r="C81" s="79"/>
      <c r="D81" s="80"/>
      <c r="E81" s="80"/>
      <c r="F81" s="81">
        <f t="shared" ref="F81" si="55">SUM(G81:X81)</f>
        <v>2</v>
      </c>
      <c r="G81" s="79"/>
      <c r="H81" s="80"/>
      <c r="I81" s="80"/>
      <c r="J81" s="79"/>
      <c r="K81" s="79"/>
      <c r="L81" s="80"/>
      <c r="M81" s="80"/>
      <c r="N81" s="80"/>
      <c r="O81" s="80"/>
      <c r="P81" s="80"/>
      <c r="Q81" s="86"/>
      <c r="R81" s="86"/>
      <c r="S81" s="87"/>
      <c r="T81" s="87"/>
      <c r="U81" s="87"/>
      <c r="V81" s="87"/>
      <c r="W81" s="87"/>
      <c r="X81" s="87">
        <v>2</v>
      </c>
      <c r="Y81" s="87"/>
      <c r="Z81" s="87"/>
      <c r="AA81" s="87"/>
      <c r="AB81" s="87"/>
      <c r="AC81" s="87"/>
      <c r="AD81" s="87"/>
      <c r="AE81" s="81">
        <v>9</v>
      </c>
      <c r="AM81" s="12"/>
      <c r="AN81" s="96"/>
      <c r="AO81" s="158"/>
      <c r="AP81" s="158"/>
      <c r="AQ81" s="11"/>
      <c r="AR81" s="11"/>
    </row>
    <row r="82" spans="1:44" s="4" customFormat="1" ht="75">
      <c r="A82" s="82">
        <v>13</v>
      </c>
      <c r="B82" s="83" t="s">
        <v>43</v>
      </c>
      <c r="C82" s="64">
        <f t="shared" ref="C82" si="56">SUM(D82:F84)</f>
        <v>36</v>
      </c>
      <c r="D82" s="65">
        <f t="shared" ref="D82" si="57">SUM(G82:X82)</f>
        <v>18</v>
      </c>
      <c r="E82" s="65"/>
      <c r="F82" s="66"/>
      <c r="G82" s="67">
        <v>2</v>
      </c>
      <c r="H82" s="68"/>
      <c r="I82" s="68">
        <v>2</v>
      </c>
      <c r="J82" s="67"/>
      <c r="K82" s="64">
        <v>2</v>
      </c>
      <c r="L82" s="65"/>
      <c r="M82" s="65">
        <v>2</v>
      </c>
      <c r="N82" s="65"/>
      <c r="O82" s="65">
        <v>2</v>
      </c>
      <c r="P82" s="65"/>
      <c r="Q82" s="64">
        <v>2</v>
      </c>
      <c r="R82" s="64"/>
      <c r="S82" s="65">
        <v>2</v>
      </c>
      <c r="T82" s="65"/>
      <c r="U82" s="65">
        <v>2</v>
      </c>
      <c r="V82" s="65"/>
      <c r="W82" s="65">
        <v>2</v>
      </c>
      <c r="X82" s="65"/>
      <c r="Y82" s="65"/>
      <c r="Z82" s="65"/>
      <c r="AA82" s="65"/>
      <c r="AB82" s="65"/>
      <c r="AC82" s="65"/>
      <c r="AD82" s="65"/>
      <c r="AE82" s="66" t="s">
        <v>19</v>
      </c>
      <c r="AM82" s="11"/>
      <c r="AN82" s="11"/>
      <c r="AO82" s="11"/>
      <c r="AP82" s="11"/>
      <c r="AQ82" s="11"/>
      <c r="AR82" s="11"/>
    </row>
    <row r="83" spans="1:44" s="4" customFormat="1">
      <c r="A83" s="84"/>
      <c r="B83" s="85"/>
      <c r="C83" s="71"/>
      <c r="D83" s="72"/>
      <c r="E83" s="72">
        <f t="shared" ref="E83" si="58">SUM(G83:X83)</f>
        <v>18</v>
      </c>
      <c r="F83" s="73"/>
      <c r="G83" s="71"/>
      <c r="H83" s="72">
        <v>2</v>
      </c>
      <c r="I83" s="72"/>
      <c r="J83" s="71">
        <v>2</v>
      </c>
      <c r="K83" s="74"/>
      <c r="L83" s="75">
        <v>2</v>
      </c>
      <c r="M83" s="75"/>
      <c r="N83" s="75">
        <v>2</v>
      </c>
      <c r="O83" s="75"/>
      <c r="P83" s="75">
        <v>2</v>
      </c>
      <c r="Q83" s="71"/>
      <c r="R83" s="71">
        <v>2</v>
      </c>
      <c r="S83" s="72"/>
      <c r="T83" s="72">
        <v>2</v>
      </c>
      <c r="U83" s="72"/>
      <c r="V83" s="72">
        <v>2</v>
      </c>
      <c r="W83" s="72"/>
      <c r="X83" s="72">
        <v>2</v>
      </c>
      <c r="Y83" s="72"/>
      <c r="Z83" s="72"/>
      <c r="AA83" s="72"/>
      <c r="AB83" s="72"/>
      <c r="AC83" s="72"/>
      <c r="AD83" s="72"/>
      <c r="AE83" s="76"/>
      <c r="AM83" s="12"/>
      <c r="AN83" s="96"/>
      <c r="AO83" s="158"/>
      <c r="AP83" s="158"/>
      <c r="AQ83" s="11"/>
      <c r="AR83" s="11"/>
    </row>
    <row r="84" spans="1:44" s="4" customFormat="1" ht="19.5" thickBot="1">
      <c r="A84" s="88"/>
      <c r="B84" s="89"/>
      <c r="C84" s="79"/>
      <c r="D84" s="80"/>
      <c r="E84" s="80"/>
      <c r="F84" s="81">
        <f t="shared" ref="F84" si="59">SUM(G84:X84)</f>
        <v>0</v>
      </c>
      <c r="G84" s="79"/>
      <c r="H84" s="80"/>
      <c r="I84" s="80"/>
      <c r="J84" s="79"/>
      <c r="K84" s="79"/>
      <c r="L84" s="80"/>
      <c r="M84" s="80"/>
      <c r="N84" s="80"/>
      <c r="O84" s="80"/>
      <c r="P84" s="80"/>
      <c r="Q84" s="79"/>
      <c r="R84" s="79"/>
      <c r="S84" s="80"/>
      <c r="T84" s="80"/>
      <c r="U84" s="80"/>
      <c r="V84" s="80"/>
      <c r="W84" s="80"/>
      <c r="X84" s="80"/>
      <c r="Y84" s="80"/>
      <c r="Z84" s="87"/>
      <c r="AA84" s="87"/>
      <c r="AB84" s="87"/>
      <c r="AC84" s="87"/>
      <c r="AD84" s="87"/>
      <c r="AE84" s="81">
        <v>9</v>
      </c>
      <c r="AM84" s="12"/>
      <c r="AN84" s="96"/>
      <c r="AO84" s="158"/>
      <c r="AP84" s="158"/>
      <c r="AQ84" s="11"/>
      <c r="AR84" s="11"/>
    </row>
    <row r="85" spans="1:44" ht="19.5" thickBot="1">
      <c r="A85" s="169" t="s">
        <v>28</v>
      </c>
      <c r="B85" s="170"/>
      <c r="C85" s="170"/>
      <c r="D85" s="170"/>
      <c r="E85" s="170"/>
      <c r="F85" s="170"/>
      <c r="G85" s="170"/>
      <c r="H85" s="170"/>
      <c r="I85" s="170"/>
      <c r="J85" s="170"/>
      <c r="K85" s="170"/>
      <c r="L85" s="170"/>
      <c r="M85" s="170"/>
      <c r="N85" s="170"/>
      <c r="O85" s="170"/>
      <c r="P85" s="170"/>
      <c r="Q85" s="170"/>
      <c r="R85" s="170"/>
      <c r="S85" s="170"/>
      <c r="T85" s="170"/>
      <c r="U85" s="170"/>
      <c r="V85" s="170"/>
      <c r="W85" s="170"/>
      <c r="X85" s="170"/>
      <c r="Y85" s="170"/>
      <c r="Z85" s="170"/>
      <c r="AA85" s="170"/>
      <c r="AB85" s="170"/>
      <c r="AC85" s="170"/>
      <c r="AD85" s="170"/>
      <c r="AE85" s="171"/>
    </row>
    <row r="86" spans="1:44" s="4" customFormat="1" ht="37.5">
      <c r="A86" s="82">
        <v>13</v>
      </c>
      <c r="B86" s="83" t="s">
        <v>38</v>
      </c>
      <c r="C86" s="64">
        <f t="shared" ref="C86" si="60">SUM(D86:F88)</f>
        <v>54</v>
      </c>
      <c r="D86" s="65">
        <f t="shared" ref="D86" si="61">SUM(G86:X86)</f>
        <v>18</v>
      </c>
      <c r="E86" s="65"/>
      <c r="F86" s="66"/>
      <c r="G86" s="67">
        <v>2</v>
      </c>
      <c r="H86" s="68"/>
      <c r="I86" s="68">
        <v>2</v>
      </c>
      <c r="J86" s="67"/>
      <c r="K86" s="64">
        <v>2</v>
      </c>
      <c r="L86" s="65"/>
      <c r="M86" s="65">
        <v>2</v>
      </c>
      <c r="N86" s="65"/>
      <c r="O86" s="65">
        <v>2</v>
      </c>
      <c r="P86" s="65"/>
      <c r="Q86" s="64">
        <v>2</v>
      </c>
      <c r="R86" s="64"/>
      <c r="S86" s="65">
        <v>2</v>
      </c>
      <c r="T86" s="65"/>
      <c r="U86" s="65">
        <v>2</v>
      </c>
      <c r="V86" s="65"/>
      <c r="W86" s="65">
        <v>2</v>
      </c>
      <c r="X86" s="66"/>
      <c r="Y86" s="64"/>
      <c r="Z86" s="65"/>
      <c r="AA86" s="65"/>
      <c r="AB86" s="65"/>
      <c r="AC86" s="65"/>
      <c r="AD86" s="65"/>
      <c r="AE86" s="66" t="s">
        <v>19</v>
      </c>
      <c r="AM86" s="11"/>
      <c r="AN86" s="11"/>
      <c r="AO86" s="11"/>
      <c r="AP86" s="11"/>
      <c r="AQ86" s="11"/>
      <c r="AR86" s="11"/>
    </row>
    <row r="87" spans="1:44" s="4" customFormat="1">
      <c r="A87" s="84"/>
      <c r="B87" s="85"/>
      <c r="C87" s="71"/>
      <c r="D87" s="72"/>
      <c r="E87" s="72">
        <f t="shared" ref="E87" si="62">SUM(G87:X87)</f>
        <v>18</v>
      </c>
      <c r="F87" s="73"/>
      <c r="G87" s="71">
        <v>2</v>
      </c>
      <c r="H87" s="71">
        <v>2</v>
      </c>
      <c r="I87" s="71">
        <v>2</v>
      </c>
      <c r="J87" s="71">
        <v>2</v>
      </c>
      <c r="K87" s="71">
        <v>2</v>
      </c>
      <c r="L87" s="71">
        <v>2</v>
      </c>
      <c r="M87" s="71">
        <v>2</v>
      </c>
      <c r="N87" s="71">
        <v>2</v>
      </c>
      <c r="O87" s="71">
        <v>2</v>
      </c>
      <c r="P87" s="71"/>
      <c r="Q87" s="71"/>
      <c r="R87" s="71"/>
      <c r="S87" s="72"/>
      <c r="T87" s="72"/>
      <c r="U87" s="72"/>
      <c r="V87" s="72"/>
      <c r="W87" s="72"/>
      <c r="X87" s="73"/>
      <c r="Y87" s="71"/>
      <c r="Z87" s="72"/>
      <c r="AA87" s="72"/>
      <c r="AB87" s="72"/>
      <c r="AC87" s="72"/>
      <c r="AD87" s="72"/>
      <c r="AE87" s="76"/>
      <c r="AM87" s="12"/>
      <c r="AN87" s="96"/>
      <c r="AO87" s="158"/>
      <c r="AP87" s="158"/>
      <c r="AQ87" s="11"/>
      <c r="AR87" s="11"/>
    </row>
    <row r="88" spans="1:44" s="4" customFormat="1" ht="19.5" thickBot="1">
      <c r="A88" s="88"/>
      <c r="B88" s="89"/>
      <c r="C88" s="79"/>
      <c r="D88" s="80"/>
      <c r="E88" s="80"/>
      <c r="F88" s="81">
        <f t="shared" ref="F88" si="63">SUM(G88:X88)</f>
        <v>18</v>
      </c>
      <c r="G88" s="79"/>
      <c r="H88" s="80"/>
      <c r="I88" s="80"/>
      <c r="J88" s="79"/>
      <c r="K88" s="79"/>
      <c r="L88" s="80"/>
      <c r="M88" s="80"/>
      <c r="N88" s="80"/>
      <c r="O88" s="80"/>
      <c r="P88" s="80">
        <v>2</v>
      </c>
      <c r="Q88" s="80">
        <v>2</v>
      </c>
      <c r="R88" s="80">
        <v>2</v>
      </c>
      <c r="S88" s="80">
        <v>2</v>
      </c>
      <c r="T88" s="80">
        <v>2</v>
      </c>
      <c r="U88" s="80">
        <v>2</v>
      </c>
      <c r="V88" s="80">
        <v>2</v>
      </c>
      <c r="W88" s="80">
        <v>2</v>
      </c>
      <c r="X88" s="92">
        <v>2</v>
      </c>
      <c r="Y88" s="86"/>
      <c r="Z88" s="87"/>
      <c r="AA88" s="87"/>
      <c r="AB88" s="87"/>
      <c r="AC88" s="87"/>
      <c r="AD88" s="87"/>
      <c r="AE88" s="81">
        <v>18</v>
      </c>
      <c r="AM88" s="12"/>
      <c r="AN88" s="96"/>
      <c r="AO88" s="158"/>
      <c r="AP88" s="158"/>
      <c r="AQ88" s="11"/>
      <c r="AR88" s="11"/>
    </row>
    <row r="89" spans="1:44" s="4" customFormat="1" ht="56.25">
      <c r="A89" s="82">
        <v>13</v>
      </c>
      <c r="B89" s="83" t="s">
        <v>39</v>
      </c>
      <c r="C89" s="64">
        <f t="shared" ref="C89" si="64">SUM(D89:F91)</f>
        <v>54</v>
      </c>
      <c r="D89" s="65">
        <f t="shared" ref="D89" si="65">SUM(G89:X89)</f>
        <v>18</v>
      </c>
      <c r="E89" s="65"/>
      <c r="F89" s="66"/>
      <c r="G89" s="67">
        <v>2</v>
      </c>
      <c r="H89" s="68"/>
      <c r="I89" s="68">
        <v>2</v>
      </c>
      <c r="J89" s="67"/>
      <c r="K89" s="64">
        <v>2</v>
      </c>
      <c r="L89" s="65"/>
      <c r="M89" s="65">
        <v>2</v>
      </c>
      <c r="N89" s="65"/>
      <c r="O89" s="65">
        <v>2</v>
      </c>
      <c r="P89" s="65"/>
      <c r="Q89" s="64">
        <v>2</v>
      </c>
      <c r="R89" s="64"/>
      <c r="S89" s="65">
        <v>2</v>
      </c>
      <c r="T89" s="65"/>
      <c r="U89" s="65">
        <v>2</v>
      </c>
      <c r="V89" s="65"/>
      <c r="W89" s="65">
        <v>2</v>
      </c>
      <c r="X89" s="66"/>
      <c r="Y89" s="64"/>
      <c r="Z89" s="65"/>
      <c r="AA89" s="65"/>
      <c r="AB89" s="65"/>
      <c r="AC89" s="65"/>
      <c r="AD89" s="65"/>
      <c r="AE89" s="66" t="s">
        <v>19</v>
      </c>
      <c r="AM89" s="11"/>
      <c r="AN89" s="11"/>
      <c r="AO89" s="11"/>
      <c r="AP89" s="11"/>
      <c r="AQ89" s="11"/>
      <c r="AR89" s="11"/>
    </row>
    <row r="90" spans="1:44" s="4" customFormat="1">
      <c r="A90" s="84"/>
      <c r="B90" s="85"/>
      <c r="C90" s="71"/>
      <c r="D90" s="72"/>
      <c r="E90" s="72">
        <f t="shared" ref="E90" si="66">SUM(G90:X90)</f>
        <v>28</v>
      </c>
      <c r="F90" s="73"/>
      <c r="G90" s="71">
        <v>2</v>
      </c>
      <c r="H90" s="71">
        <v>2</v>
      </c>
      <c r="I90" s="71">
        <v>2</v>
      </c>
      <c r="J90" s="71">
        <v>2</v>
      </c>
      <c r="K90" s="71">
        <v>2</v>
      </c>
      <c r="L90" s="71">
        <v>2</v>
      </c>
      <c r="M90" s="71">
        <v>2</v>
      </c>
      <c r="N90" s="71">
        <v>2</v>
      </c>
      <c r="O90" s="71">
        <v>2</v>
      </c>
      <c r="P90" s="71">
        <v>2</v>
      </c>
      <c r="Q90" s="71">
        <v>2</v>
      </c>
      <c r="R90" s="71">
        <v>2</v>
      </c>
      <c r="S90" s="71">
        <v>2</v>
      </c>
      <c r="T90" s="71">
        <v>2</v>
      </c>
      <c r="U90" s="72"/>
      <c r="V90" s="72"/>
      <c r="W90" s="72"/>
      <c r="X90" s="73"/>
      <c r="Y90" s="71"/>
      <c r="Z90" s="72"/>
      <c r="AA90" s="72"/>
      <c r="AB90" s="72"/>
      <c r="AC90" s="72"/>
      <c r="AD90" s="72"/>
      <c r="AE90" s="76"/>
      <c r="AM90" s="12"/>
      <c r="AN90" s="96"/>
      <c r="AO90" s="158"/>
      <c r="AP90" s="158"/>
      <c r="AQ90" s="11"/>
      <c r="AR90" s="11"/>
    </row>
    <row r="91" spans="1:44" s="4" customFormat="1" ht="19.5" thickBot="1">
      <c r="A91" s="98"/>
      <c r="B91" s="89"/>
      <c r="C91" s="79"/>
      <c r="D91" s="80"/>
      <c r="E91" s="80"/>
      <c r="F91" s="81">
        <f t="shared" ref="F91" si="67">SUM(G91:X91)</f>
        <v>8</v>
      </c>
      <c r="G91" s="79"/>
      <c r="H91" s="80"/>
      <c r="I91" s="80"/>
      <c r="J91" s="79"/>
      <c r="K91" s="79"/>
      <c r="L91" s="80"/>
      <c r="M91" s="80"/>
      <c r="N91" s="80"/>
      <c r="O91" s="80"/>
      <c r="P91" s="80"/>
      <c r="Q91" s="86"/>
      <c r="R91" s="86"/>
      <c r="S91" s="87"/>
      <c r="T91" s="87"/>
      <c r="U91" s="87">
        <v>2</v>
      </c>
      <c r="V91" s="87">
        <v>2</v>
      </c>
      <c r="W91" s="87">
        <v>2</v>
      </c>
      <c r="X91" s="92">
        <v>2</v>
      </c>
      <c r="Y91" s="86"/>
      <c r="Z91" s="87"/>
      <c r="AA91" s="87"/>
      <c r="AB91" s="87"/>
      <c r="AC91" s="87"/>
      <c r="AD91" s="87"/>
      <c r="AE91" s="81">
        <v>18</v>
      </c>
      <c r="AM91" s="12"/>
      <c r="AN91" s="96"/>
      <c r="AO91" s="158"/>
      <c r="AP91" s="158"/>
      <c r="AQ91" s="11"/>
      <c r="AR91" s="11"/>
    </row>
    <row r="92" spans="1:44" s="4" customFormat="1" ht="19.5" thickBot="1">
      <c r="A92" s="169" t="s">
        <v>25</v>
      </c>
      <c r="B92" s="170"/>
      <c r="C92" s="170"/>
      <c r="D92" s="170"/>
      <c r="E92" s="170"/>
      <c r="F92" s="170"/>
      <c r="G92" s="170"/>
      <c r="H92" s="170"/>
      <c r="I92" s="170"/>
      <c r="J92" s="170"/>
      <c r="K92" s="170"/>
      <c r="L92" s="170"/>
      <c r="M92" s="170"/>
      <c r="N92" s="170"/>
      <c r="O92" s="170"/>
      <c r="P92" s="170"/>
      <c r="Q92" s="170"/>
      <c r="R92" s="170"/>
      <c r="S92" s="170"/>
      <c r="T92" s="170"/>
      <c r="U92" s="170"/>
      <c r="V92" s="170"/>
      <c r="W92" s="170"/>
      <c r="X92" s="170"/>
      <c r="Y92" s="170"/>
      <c r="Z92" s="170"/>
      <c r="AA92" s="170"/>
      <c r="AB92" s="170"/>
      <c r="AC92" s="170"/>
      <c r="AD92" s="170"/>
      <c r="AE92" s="171"/>
      <c r="AM92" s="11"/>
      <c r="AN92" s="11"/>
      <c r="AO92" s="11"/>
      <c r="AP92" s="11"/>
      <c r="AQ92" s="11"/>
      <c r="AR92" s="11"/>
    </row>
    <row r="93" spans="1:44" s="4" customFormat="1" ht="37.5">
      <c r="A93" s="62">
        <v>13</v>
      </c>
      <c r="B93" s="63" t="s">
        <v>38</v>
      </c>
      <c r="C93" s="64">
        <f>SUM(D93:F95)</f>
        <v>72</v>
      </c>
      <c r="D93" s="65">
        <f>SUM(G93:X93)</f>
        <v>18</v>
      </c>
      <c r="E93" s="65"/>
      <c r="F93" s="66"/>
      <c r="G93" s="64">
        <v>2</v>
      </c>
      <c r="H93" s="65"/>
      <c r="I93" s="65">
        <v>2</v>
      </c>
      <c r="J93" s="65"/>
      <c r="K93" s="64">
        <v>2</v>
      </c>
      <c r="L93" s="65"/>
      <c r="M93" s="65">
        <v>2</v>
      </c>
      <c r="N93" s="65"/>
      <c r="O93" s="65">
        <v>2</v>
      </c>
      <c r="P93" s="65"/>
      <c r="Q93" s="64">
        <v>2</v>
      </c>
      <c r="R93" s="64"/>
      <c r="S93" s="65">
        <v>2</v>
      </c>
      <c r="T93" s="65"/>
      <c r="U93" s="65">
        <v>2</v>
      </c>
      <c r="V93" s="65"/>
      <c r="W93" s="65">
        <v>2</v>
      </c>
      <c r="X93" s="66"/>
      <c r="Y93" s="64"/>
      <c r="Z93" s="65"/>
      <c r="AA93" s="65"/>
      <c r="AB93" s="65"/>
      <c r="AC93" s="65"/>
      <c r="AD93" s="65"/>
      <c r="AE93" s="66" t="s">
        <v>21</v>
      </c>
    </row>
    <row r="94" spans="1:44" s="4" customFormat="1" ht="19.5">
      <c r="A94" s="69"/>
      <c r="B94" s="70"/>
      <c r="C94" s="71"/>
      <c r="D94" s="72"/>
      <c r="E94" s="72">
        <f>SUM(G94:X94)</f>
        <v>36</v>
      </c>
      <c r="F94" s="73"/>
      <c r="G94" s="71">
        <v>2</v>
      </c>
      <c r="H94" s="71">
        <v>2</v>
      </c>
      <c r="I94" s="71">
        <v>2</v>
      </c>
      <c r="J94" s="71">
        <v>2</v>
      </c>
      <c r="K94" s="71">
        <v>2</v>
      </c>
      <c r="L94" s="71">
        <v>2</v>
      </c>
      <c r="M94" s="71">
        <v>2</v>
      </c>
      <c r="N94" s="71">
        <v>2</v>
      </c>
      <c r="O94" s="71">
        <v>2</v>
      </c>
      <c r="P94" s="71">
        <v>2</v>
      </c>
      <c r="Q94" s="71">
        <v>2</v>
      </c>
      <c r="R94" s="71">
        <v>2</v>
      </c>
      <c r="S94" s="71">
        <v>2</v>
      </c>
      <c r="T94" s="71">
        <v>2</v>
      </c>
      <c r="U94" s="71">
        <v>2</v>
      </c>
      <c r="V94" s="71">
        <v>2</v>
      </c>
      <c r="W94" s="71">
        <v>2</v>
      </c>
      <c r="X94" s="73">
        <v>2</v>
      </c>
      <c r="Y94" s="71"/>
      <c r="Z94" s="72"/>
      <c r="AA94" s="72"/>
      <c r="AB94" s="72"/>
      <c r="AC94" s="72"/>
      <c r="AD94" s="72"/>
      <c r="AE94" s="76"/>
    </row>
    <row r="95" spans="1:44" s="4" customFormat="1" ht="21.75" customHeight="1" thickBot="1">
      <c r="A95" s="77"/>
      <c r="B95" s="78"/>
      <c r="C95" s="79"/>
      <c r="D95" s="80"/>
      <c r="E95" s="80"/>
      <c r="F95" s="81">
        <f>SUM(G95:X95)</f>
        <v>18</v>
      </c>
      <c r="G95" s="79"/>
      <c r="H95" s="80">
        <v>2</v>
      </c>
      <c r="I95" s="80"/>
      <c r="J95" s="80">
        <v>2</v>
      </c>
      <c r="K95" s="79"/>
      <c r="L95" s="80">
        <v>2</v>
      </c>
      <c r="M95" s="80"/>
      <c r="N95" s="80">
        <v>2</v>
      </c>
      <c r="O95" s="80"/>
      <c r="P95" s="80">
        <v>2</v>
      </c>
      <c r="Q95" s="79"/>
      <c r="R95" s="79">
        <v>2</v>
      </c>
      <c r="S95" s="80"/>
      <c r="T95" s="80">
        <v>2</v>
      </c>
      <c r="U95" s="80"/>
      <c r="V95" s="80">
        <v>2</v>
      </c>
      <c r="W95" s="80"/>
      <c r="X95" s="81">
        <v>2</v>
      </c>
      <c r="Y95" s="79"/>
      <c r="Z95" s="80"/>
      <c r="AA95" s="80"/>
      <c r="AB95" s="80"/>
      <c r="AC95" s="80"/>
      <c r="AD95" s="80"/>
      <c r="AE95" s="81">
        <v>9</v>
      </c>
      <c r="AM95" s="11"/>
      <c r="AN95" s="11"/>
      <c r="AO95" s="11"/>
      <c r="AP95" s="11"/>
      <c r="AQ95" s="11"/>
      <c r="AR95" s="11"/>
    </row>
    <row r="96" spans="1:44" s="4" customFormat="1" ht="19.5" thickBot="1">
      <c r="A96" s="169" t="s">
        <v>29</v>
      </c>
      <c r="B96" s="170"/>
      <c r="C96" s="170"/>
      <c r="D96" s="170"/>
      <c r="E96" s="170"/>
      <c r="F96" s="170"/>
      <c r="G96" s="170"/>
      <c r="H96" s="170"/>
      <c r="I96" s="170"/>
      <c r="J96" s="170"/>
      <c r="K96" s="170"/>
      <c r="L96" s="170"/>
      <c r="M96" s="170"/>
      <c r="N96" s="170"/>
      <c r="O96" s="170"/>
      <c r="P96" s="170"/>
      <c r="Q96" s="170"/>
      <c r="R96" s="170"/>
      <c r="S96" s="170"/>
      <c r="T96" s="170"/>
      <c r="U96" s="170"/>
      <c r="V96" s="170"/>
      <c r="W96" s="170"/>
      <c r="X96" s="170"/>
      <c r="Y96" s="170"/>
      <c r="Z96" s="170"/>
      <c r="AA96" s="170"/>
      <c r="AB96" s="170"/>
      <c r="AC96" s="170"/>
      <c r="AD96" s="170"/>
      <c r="AE96" s="171"/>
      <c r="AM96" s="12"/>
      <c r="AN96" s="96"/>
      <c r="AO96" s="158"/>
      <c r="AP96" s="158"/>
      <c r="AQ96" s="11"/>
      <c r="AR96" s="11"/>
    </row>
    <row r="97" spans="1:44" s="4" customFormat="1" ht="37.5">
      <c r="A97" s="82">
        <v>13</v>
      </c>
      <c r="B97" s="83" t="s">
        <v>31</v>
      </c>
      <c r="C97" s="64">
        <f>SUM(D97:F99)</f>
        <v>48</v>
      </c>
      <c r="D97" s="65">
        <f>SUM(G97:X97)</f>
        <v>16</v>
      </c>
      <c r="E97" s="65"/>
      <c r="F97" s="66"/>
      <c r="G97" s="67">
        <v>2</v>
      </c>
      <c r="H97" s="68"/>
      <c r="I97" s="68">
        <v>2</v>
      </c>
      <c r="J97" s="67"/>
      <c r="K97" s="64">
        <v>2</v>
      </c>
      <c r="L97" s="65"/>
      <c r="M97" s="65">
        <v>2</v>
      </c>
      <c r="N97" s="65"/>
      <c r="O97" s="65">
        <v>2</v>
      </c>
      <c r="P97" s="65"/>
      <c r="Q97" s="64">
        <v>2</v>
      </c>
      <c r="R97" s="64"/>
      <c r="S97" s="65">
        <v>2</v>
      </c>
      <c r="T97" s="65"/>
      <c r="U97" s="65">
        <v>2</v>
      </c>
      <c r="V97" s="66"/>
      <c r="W97" s="64"/>
      <c r="X97" s="65"/>
      <c r="Y97" s="64"/>
      <c r="Z97" s="65"/>
      <c r="AA97" s="65"/>
      <c r="AB97" s="65"/>
      <c r="AC97" s="65"/>
      <c r="AD97" s="65"/>
      <c r="AE97" s="66" t="s">
        <v>21</v>
      </c>
      <c r="AM97" s="11"/>
      <c r="AN97" s="11"/>
      <c r="AO97" s="11"/>
      <c r="AP97" s="11"/>
      <c r="AQ97" s="11"/>
      <c r="AR97" s="11"/>
    </row>
    <row r="98" spans="1:44" s="4" customFormat="1">
      <c r="A98" s="84"/>
      <c r="B98" s="85"/>
      <c r="C98" s="71"/>
      <c r="D98" s="72"/>
      <c r="E98" s="72">
        <f>SUM(G98:X98)</f>
        <v>20</v>
      </c>
      <c r="F98" s="73"/>
      <c r="G98" s="71">
        <v>2</v>
      </c>
      <c r="H98" s="71">
        <v>2</v>
      </c>
      <c r="I98" s="71">
        <v>2</v>
      </c>
      <c r="J98" s="71">
        <v>2</v>
      </c>
      <c r="K98" s="71">
        <v>2</v>
      </c>
      <c r="L98" s="71">
        <v>2</v>
      </c>
      <c r="M98" s="71">
        <v>2</v>
      </c>
      <c r="N98" s="71">
        <v>2</v>
      </c>
      <c r="O98" s="71">
        <v>2</v>
      </c>
      <c r="P98" s="71">
        <v>2</v>
      </c>
      <c r="Q98" s="71"/>
      <c r="R98" s="71"/>
      <c r="S98" s="71"/>
      <c r="T98" s="71"/>
      <c r="U98" s="71"/>
      <c r="V98" s="73"/>
      <c r="W98" s="71"/>
      <c r="X98" s="72"/>
      <c r="Y98" s="71"/>
      <c r="Z98" s="72"/>
      <c r="AA98" s="72"/>
      <c r="AB98" s="72"/>
      <c r="AC98" s="72"/>
      <c r="AD98" s="72"/>
      <c r="AE98" s="76"/>
      <c r="AM98" s="12"/>
      <c r="AN98" s="96"/>
      <c r="AO98" s="158"/>
      <c r="AP98" s="158"/>
      <c r="AQ98" s="11"/>
      <c r="AR98" s="11"/>
    </row>
    <row r="99" spans="1:44" s="4" customFormat="1" ht="19.5" thickBot="1">
      <c r="A99" s="98"/>
      <c r="B99" s="89"/>
      <c r="C99" s="79"/>
      <c r="D99" s="80"/>
      <c r="E99" s="80"/>
      <c r="F99" s="81">
        <f>SUM(G99:X99)</f>
        <v>12</v>
      </c>
      <c r="G99" s="86"/>
      <c r="H99" s="87"/>
      <c r="I99" s="86"/>
      <c r="J99" s="79"/>
      <c r="K99" s="86"/>
      <c r="L99" s="87"/>
      <c r="M99" s="87"/>
      <c r="N99" s="87"/>
      <c r="O99" s="87"/>
      <c r="P99" s="87"/>
      <c r="Q99" s="86">
        <v>2</v>
      </c>
      <c r="R99" s="86">
        <v>2</v>
      </c>
      <c r="S99" s="86">
        <v>2</v>
      </c>
      <c r="T99" s="86">
        <v>2</v>
      </c>
      <c r="U99" s="86">
        <v>2</v>
      </c>
      <c r="V99" s="92">
        <v>2</v>
      </c>
      <c r="W99" s="86"/>
      <c r="X99" s="87"/>
      <c r="Y99" s="86"/>
      <c r="Z99" s="87"/>
      <c r="AA99" s="87"/>
      <c r="AB99" s="87"/>
      <c r="AC99" s="87"/>
      <c r="AD99" s="87"/>
      <c r="AE99" s="92">
        <v>18</v>
      </c>
      <c r="AM99" s="12"/>
      <c r="AN99" s="96"/>
      <c r="AO99" s="158"/>
      <c r="AP99" s="158"/>
      <c r="AQ99" s="11"/>
      <c r="AR99" s="11"/>
    </row>
    <row r="100" spans="1:44" s="4" customFormat="1" ht="61.5" customHeight="1" thickBot="1">
      <c r="A100" s="209" t="s">
        <v>30</v>
      </c>
      <c r="B100" s="209"/>
      <c r="C100" s="209"/>
      <c r="D100" s="209"/>
      <c r="E100" s="209"/>
      <c r="F100" s="209"/>
      <c r="G100" s="209"/>
      <c r="H100" s="209"/>
      <c r="I100" s="209"/>
      <c r="J100" s="209"/>
      <c r="K100" s="209"/>
      <c r="L100" s="209"/>
      <c r="M100" s="209"/>
      <c r="N100" s="209"/>
      <c r="O100" s="209"/>
      <c r="P100" s="209"/>
      <c r="Q100" s="209"/>
      <c r="R100" s="209"/>
      <c r="S100" s="209"/>
      <c r="T100" s="209"/>
      <c r="U100" s="209"/>
      <c r="V100" s="209"/>
      <c r="W100" s="209"/>
      <c r="X100" s="209"/>
      <c r="Y100" s="209"/>
      <c r="Z100" s="209"/>
      <c r="AA100" s="209"/>
      <c r="AB100" s="209"/>
      <c r="AC100" s="209"/>
      <c r="AD100" s="209"/>
      <c r="AE100" s="209"/>
      <c r="AM100" s="12"/>
      <c r="AN100" s="96"/>
      <c r="AO100" s="158"/>
      <c r="AP100" s="158"/>
      <c r="AQ100" s="11"/>
      <c r="AR100" s="11"/>
    </row>
    <row r="101" spans="1:44" s="4" customFormat="1" ht="33.75" customHeight="1" thickBot="1">
      <c r="A101" s="169" t="s">
        <v>49</v>
      </c>
      <c r="B101" s="170"/>
      <c r="C101" s="170"/>
      <c r="D101" s="170"/>
      <c r="E101" s="170"/>
      <c r="F101" s="170"/>
      <c r="G101" s="170"/>
      <c r="H101" s="170"/>
      <c r="I101" s="170"/>
      <c r="J101" s="170"/>
      <c r="K101" s="170"/>
      <c r="L101" s="170"/>
      <c r="M101" s="170"/>
      <c r="N101" s="170"/>
      <c r="O101" s="170"/>
      <c r="P101" s="170"/>
      <c r="Q101" s="170"/>
      <c r="R101" s="170"/>
      <c r="S101" s="170"/>
      <c r="T101" s="170"/>
      <c r="U101" s="170"/>
      <c r="V101" s="170"/>
      <c r="W101" s="170"/>
      <c r="X101" s="170"/>
      <c r="Y101" s="162"/>
      <c r="Z101" s="170"/>
      <c r="AA101" s="170"/>
      <c r="AB101" s="170"/>
      <c r="AC101" s="170"/>
      <c r="AD101" s="170"/>
      <c r="AE101" s="171"/>
    </row>
    <row r="102" spans="1:44" s="4" customFormat="1" ht="56.25">
      <c r="A102" s="130">
        <v>13</v>
      </c>
      <c r="B102" s="131" t="s">
        <v>50</v>
      </c>
      <c r="C102" s="100">
        <f>SUM(D102:F104)</f>
        <v>14</v>
      </c>
      <c r="D102" s="101">
        <f>SUM(G102:AA102)</f>
        <v>6</v>
      </c>
      <c r="E102" s="101"/>
      <c r="F102" s="102"/>
      <c r="G102" s="110">
        <v>2</v>
      </c>
      <c r="H102" s="110"/>
      <c r="I102" s="132">
        <v>2</v>
      </c>
      <c r="J102" s="111"/>
      <c r="K102" s="111">
        <v>2</v>
      </c>
      <c r="L102" s="111"/>
      <c r="M102" s="111"/>
      <c r="N102" s="111"/>
      <c r="O102" s="101"/>
      <c r="P102" s="101"/>
      <c r="Q102" s="133"/>
      <c r="R102" s="101"/>
      <c r="S102" s="101"/>
      <c r="T102" s="101"/>
      <c r="U102" s="101"/>
      <c r="V102" s="101"/>
      <c r="W102" s="101"/>
      <c r="X102" s="134"/>
      <c r="Y102" s="135"/>
      <c r="Z102" s="110"/>
      <c r="AA102" s="136"/>
      <c r="AB102" s="100"/>
      <c r="AC102" s="101"/>
      <c r="AD102" s="102"/>
      <c r="AE102" s="137" t="s">
        <v>19</v>
      </c>
      <c r="AM102" s="11"/>
      <c r="AN102" s="11"/>
      <c r="AO102" s="11"/>
      <c r="AP102" s="11"/>
      <c r="AQ102" s="11"/>
      <c r="AR102" s="11"/>
    </row>
    <row r="103" spans="1:44" s="4" customFormat="1">
      <c r="A103" s="138"/>
      <c r="B103" s="139"/>
      <c r="C103" s="103"/>
      <c r="D103" s="105"/>
      <c r="E103" s="105">
        <f>SUM(G103:AA103)</f>
        <v>8</v>
      </c>
      <c r="F103" s="106"/>
      <c r="G103" s="103"/>
      <c r="H103" s="140">
        <v>2</v>
      </c>
      <c r="I103" s="105"/>
      <c r="J103" s="103">
        <v>2</v>
      </c>
      <c r="K103" s="103"/>
      <c r="L103" s="103">
        <v>2</v>
      </c>
      <c r="M103" s="103"/>
      <c r="N103" s="103">
        <v>2</v>
      </c>
      <c r="O103" s="105"/>
      <c r="P103" s="105"/>
      <c r="Q103" s="141"/>
      <c r="R103" s="105"/>
      <c r="S103" s="105"/>
      <c r="T103" s="105"/>
      <c r="U103" s="105"/>
      <c r="V103" s="111"/>
      <c r="W103" s="105"/>
      <c r="X103" s="141"/>
      <c r="Y103" s="105"/>
      <c r="Z103" s="103"/>
      <c r="AA103" s="106"/>
      <c r="AB103" s="103"/>
      <c r="AC103" s="105"/>
      <c r="AD103" s="106"/>
      <c r="AE103" s="142"/>
      <c r="AM103" s="12"/>
      <c r="AN103" s="96"/>
      <c r="AO103" s="158"/>
      <c r="AP103" s="158"/>
      <c r="AQ103" s="11"/>
      <c r="AR103" s="11"/>
    </row>
    <row r="104" spans="1:44" s="4" customFormat="1" ht="38.25" thickBot="1">
      <c r="A104" s="138"/>
      <c r="B104" s="143" t="s">
        <v>51</v>
      </c>
      <c r="C104" s="104"/>
      <c r="D104" s="108"/>
      <c r="E104" s="108"/>
      <c r="F104" s="109">
        <f>SUM(G104:V104)</f>
        <v>0</v>
      </c>
      <c r="G104" s="144"/>
      <c r="H104" s="145"/>
      <c r="I104" s="144"/>
      <c r="J104" s="144"/>
      <c r="K104" s="144"/>
      <c r="L104" s="144"/>
      <c r="M104" s="144"/>
      <c r="N104" s="144"/>
      <c r="O104" s="105"/>
      <c r="P104" s="105"/>
      <c r="Q104" s="141"/>
      <c r="R104" s="105"/>
      <c r="S104" s="105"/>
      <c r="T104" s="105"/>
      <c r="U104" s="105"/>
      <c r="V104" s="105"/>
      <c r="W104" s="145"/>
      <c r="X104" s="145"/>
      <c r="Y104" s="145"/>
      <c r="Z104" s="103"/>
      <c r="AA104" s="106"/>
      <c r="AB104" s="103"/>
      <c r="AC104" s="105"/>
      <c r="AD104" s="106"/>
      <c r="AE104" s="146" t="s">
        <v>52</v>
      </c>
      <c r="AM104" s="12"/>
      <c r="AN104" s="96"/>
      <c r="AO104" s="158"/>
      <c r="AP104" s="158"/>
      <c r="AQ104" s="11"/>
      <c r="AR104" s="11"/>
    </row>
    <row r="105" spans="1:44" s="4" customFormat="1" ht="75">
      <c r="A105" s="147">
        <v>13</v>
      </c>
      <c r="B105" s="148" t="s">
        <v>53</v>
      </c>
      <c r="C105" s="100">
        <f>SUM(D105:F107)</f>
        <v>28</v>
      </c>
      <c r="D105" s="101">
        <f>SUM(G105:AA105)</f>
        <v>14</v>
      </c>
      <c r="E105" s="101"/>
      <c r="F105" s="102"/>
      <c r="G105" s="149">
        <v>2</v>
      </c>
      <c r="H105" s="111"/>
      <c r="I105" s="111">
        <v>2</v>
      </c>
      <c r="J105" s="149"/>
      <c r="K105" s="149">
        <v>2</v>
      </c>
      <c r="L105" s="149"/>
      <c r="M105" s="149">
        <v>2</v>
      </c>
      <c r="N105" s="149"/>
      <c r="O105" s="101">
        <v>2</v>
      </c>
      <c r="P105" s="101"/>
      <c r="Q105" s="133">
        <v>2</v>
      </c>
      <c r="R105" s="101"/>
      <c r="S105" s="101">
        <v>2</v>
      </c>
      <c r="T105" s="101"/>
      <c r="U105" s="101"/>
      <c r="V105" s="101"/>
      <c r="W105" s="135"/>
      <c r="X105" s="135"/>
      <c r="Y105" s="149"/>
      <c r="Z105" s="100"/>
      <c r="AA105" s="102"/>
      <c r="AB105" s="100"/>
      <c r="AC105" s="101"/>
      <c r="AD105" s="102"/>
      <c r="AE105" s="137" t="s">
        <v>19</v>
      </c>
    </row>
    <row r="106" spans="1:44" s="4" customFormat="1" ht="19.5">
      <c r="A106" s="150"/>
      <c r="B106" s="151"/>
      <c r="C106" s="103"/>
      <c r="D106" s="105"/>
      <c r="E106" s="105">
        <f>SUM(G106:AA106)</f>
        <v>14</v>
      </c>
      <c r="F106" s="106"/>
      <c r="G106" s="103"/>
      <c r="H106" s="141">
        <v>2</v>
      </c>
      <c r="I106" s="105"/>
      <c r="J106" s="103">
        <v>2</v>
      </c>
      <c r="K106" s="103"/>
      <c r="L106" s="103">
        <v>2</v>
      </c>
      <c r="M106" s="103"/>
      <c r="N106" s="103">
        <v>2</v>
      </c>
      <c r="O106" s="105"/>
      <c r="P106" s="105">
        <v>2</v>
      </c>
      <c r="Q106" s="141"/>
      <c r="R106" s="105">
        <v>2</v>
      </c>
      <c r="S106" s="105"/>
      <c r="T106" s="105">
        <v>2</v>
      </c>
      <c r="U106" s="105"/>
      <c r="V106" s="105"/>
      <c r="W106" s="105"/>
      <c r="X106" s="105"/>
      <c r="Y106" s="103"/>
      <c r="Z106" s="103"/>
      <c r="AA106" s="106"/>
      <c r="AB106" s="103"/>
      <c r="AC106" s="105"/>
      <c r="AD106" s="106"/>
      <c r="AE106" s="142"/>
    </row>
    <row r="107" spans="1:44" s="4" customFormat="1" ht="38.25" thickBot="1">
      <c r="A107" s="152"/>
      <c r="B107" s="143" t="s">
        <v>51</v>
      </c>
      <c r="C107" s="104"/>
      <c r="D107" s="108"/>
      <c r="E107" s="108"/>
      <c r="F107" s="109">
        <f>SUM(G107:V107)</f>
        <v>0</v>
      </c>
      <c r="G107" s="144"/>
      <c r="H107" s="153"/>
      <c r="I107" s="145"/>
      <c r="J107" s="144"/>
      <c r="K107" s="144"/>
      <c r="L107" s="144"/>
      <c r="M107" s="144"/>
      <c r="N107" s="144"/>
      <c r="O107" s="108"/>
      <c r="P107" s="108"/>
      <c r="Q107" s="154"/>
      <c r="R107" s="108"/>
      <c r="S107" s="108"/>
      <c r="T107" s="108"/>
      <c r="U107" s="108"/>
      <c r="V107" s="145"/>
      <c r="W107" s="145"/>
      <c r="X107" s="145"/>
      <c r="Y107" s="144"/>
      <c r="Z107" s="144"/>
      <c r="AA107" s="155"/>
      <c r="AB107" s="104"/>
      <c r="AC107" s="108"/>
      <c r="AD107" s="109"/>
      <c r="AE107" s="146" t="s">
        <v>52</v>
      </c>
      <c r="AM107" s="11"/>
      <c r="AN107" s="11"/>
      <c r="AO107" s="11"/>
      <c r="AP107" s="11"/>
      <c r="AQ107" s="11"/>
      <c r="AR107" s="11"/>
    </row>
    <row r="108" spans="1:44" s="4" customFormat="1" ht="19.5" thickBot="1">
      <c r="A108" s="159" t="s">
        <v>61</v>
      </c>
      <c r="B108" s="159"/>
      <c r="C108" s="159"/>
      <c r="D108" s="159"/>
      <c r="E108" s="159"/>
      <c r="F108" s="159"/>
      <c r="G108" s="159"/>
      <c r="H108" s="159"/>
      <c r="I108" s="159"/>
      <c r="J108" s="159"/>
      <c r="K108" s="160"/>
      <c r="L108" s="160"/>
      <c r="M108" s="160"/>
      <c r="N108" s="160"/>
      <c r="O108" s="160"/>
      <c r="P108" s="160"/>
      <c r="Q108" s="159"/>
      <c r="R108" s="159"/>
      <c r="S108" s="159"/>
      <c r="T108" s="159"/>
      <c r="U108" s="159"/>
      <c r="V108" s="159"/>
      <c r="W108" s="159"/>
      <c r="X108" s="159"/>
      <c r="Y108" s="159"/>
      <c r="Z108" s="159"/>
      <c r="AA108" s="159"/>
      <c r="AB108" s="159"/>
      <c r="AC108" s="159"/>
      <c r="AD108" s="159"/>
      <c r="AE108" s="159"/>
      <c r="AM108" s="11"/>
      <c r="AN108" s="11"/>
      <c r="AO108" s="11"/>
      <c r="AP108" s="11"/>
      <c r="AQ108" s="11"/>
      <c r="AR108" s="11"/>
    </row>
    <row r="109" spans="1:44" s="4" customFormat="1" ht="56.25">
      <c r="A109" s="82">
        <v>13</v>
      </c>
      <c r="B109" s="83" t="s">
        <v>36</v>
      </c>
      <c r="C109" s="64">
        <f t="shared" ref="C109" si="68">SUM(D109:F111)</f>
        <v>54</v>
      </c>
      <c r="D109" s="65">
        <f t="shared" ref="D109" si="69">SUM(G109:AD109)</f>
        <v>18</v>
      </c>
      <c r="E109" s="65"/>
      <c r="F109" s="66"/>
      <c r="G109" s="67">
        <v>2</v>
      </c>
      <c r="H109" s="67"/>
      <c r="I109" s="67">
        <v>2</v>
      </c>
      <c r="J109" s="67"/>
      <c r="K109" s="67">
        <v>2</v>
      </c>
      <c r="L109" s="67"/>
      <c r="M109" s="67">
        <v>2</v>
      </c>
      <c r="N109" s="67"/>
      <c r="O109" s="67">
        <v>2</v>
      </c>
      <c r="P109" s="67"/>
      <c r="Q109" s="67">
        <v>2</v>
      </c>
      <c r="R109" s="67"/>
      <c r="S109" s="67">
        <v>2</v>
      </c>
      <c r="T109" s="67"/>
      <c r="U109" s="67">
        <v>2</v>
      </c>
      <c r="V109" s="67"/>
      <c r="W109" s="67">
        <v>2</v>
      </c>
      <c r="X109" s="67"/>
      <c r="Y109" s="64"/>
      <c r="Z109" s="65"/>
      <c r="AA109" s="65"/>
      <c r="AB109" s="65"/>
      <c r="AC109" s="65"/>
      <c r="AD109" s="65"/>
      <c r="AE109" s="66" t="s">
        <v>54</v>
      </c>
      <c r="AM109" s="11"/>
      <c r="AN109" s="11"/>
      <c r="AO109" s="11"/>
      <c r="AP109" s="11"/>
      <c r="AQ109" s="11"/>
      <c r="AR109" s="11"/>
    </row>
    <row r="110" spans="1:44" s="4" customFormat="1">
      <c r="A110" s="84"/>
      <c r="B110" s="85"/>
      <c r="C110" s="71"/>
      <c r="D110" s="72"/>
      <c r="E110" s="72">
        <f t="shared" ref="E110" si="70">SUM(G110:AD110)</f>
        <v>36</v>
      </c>
      <c r="F110" s="73"/>
      <c r="G110" s="71">
        <v>2</v>
      </c>
      <c r="H110" s="71">
        <v>2</v>
      </c>
      <c r="I110" s="71">
        <v>2</v>
      </c>
      <c r="J110" s="71">
        <v>2</v>
      </c>
      <c r="K110" s="71">
        <v>2</v>
      </c>
      <c r="L110" s="71">
        <v>2</v>
      </c>
      <c r="M110" s="71">
        <v>2</v>
      </c>
      <c r="N110" s="71">
        <v>2</v>
      </c>
      <c r="O110" s="71">
        <v>2</v>
      </c>
      <c r="P110" s="71">
        <v>2</v>
      </c>
      <c r="Q110" s="71">
        <v>2</v>
      </c>
      <c r="R110" s="71">
        <v>2</v>
      </c>
      <c r="S110" s="71">
        <v>2</v>
      </c>
      <c r="T110" s="71">
        <v>2</v>
      </c>
      <c r="U110" s="71">
        <v>2</v>
      </c>
      <c r="V110" s="71">
        <v>2</v>
      </c>
      <c r="W110" s="71">
        <v>2</v>
      </c>
      <c r="X110" s="71">
        <v>2</v>
      </c>
      <c r="Y110" s="71"/>
      <c r="Z110" s="72"/>
      <c r="AA110" s="72"/>
      <c r="AB110" s="72"/>
      <c r="AC110" s="72"/>
      <c r="AD110" s="72"/>
      <c r="AE110" s="76"/>
      <c r="AM110" s="12"/>
      <c r="AN110" s="96"/>
      <c r="AO110" s="158"/>
      <c r="AP110" s="158"/>
      <c r="AQ110" s="11"/>
      <c r="AR110" s="11"/>
    </row>
    <row r="111" spans="1:44" s="4" customFormat="1" ht="19.5" thickBot="1">
      <c r="A111" s="88"/>
      <c r="B111" s="89"/>
      <c r="C111" s="79"/>
      <c r="D111" s="80"/>
      <c r="E111" s="80"/>
      <c r="F111" s="81">
        <f t="shared" ref="F111" si="71">SUM(G111:AD111)</f>
        <v>0</v>
      </c>
      <c r="G111" s="79"/>
      <c r="H111" s="80"/>
      <c r="I111" s="80"/>
      <c r="J111" s="79"/>
      <c r="K111" s="86"/>
      <c r="L111" s="87"/>
      <c r="M111" s="87"/>
      <c r="N111" s="87"/>
      <c r="O111" s="87"/>
      <c r="P111" s="87"/>
      <c r="Q111" s="86"/>
      <c r="R111" s="86"/>
      <c r="S111" s="87"/>
      <c r="T111" s="87"/>
      <c r="U111" s="87"/>
      <c r="V111" s="87"/>
      <c r="W111" s="87"/>
      <c r="X111" s="87"/>
      <c r="Y111" s="86"/>
      <c r="Z111" s="87"/>
      <c r="AA111" s="87"/>
      <c r="AB111" s="87"/>
      <c r="AC111" s="87"/>
      <c r="AD111" s="87"/>
      <c r="AE111" s="81">
        <v>36</v>
      </c>
      <c r="AM111" s="12"/>
      <c r="AN111" s="96"/>
      <c r="AO111" s="158"/>
      <c r="AP111" s="158"/>
      <c r="AQ111" s="11"/>
      <c r="AR111" s="11"/>
    </row>
    <row r="112" spans="1:44" ht="19.5" customHeight="1" thickBot="1">
      <c r="A112" s="169" t="s">
        <v>28</v>
      </c>
      <c r="B112" s="170"/>
      <c r="C112" s="170"/>
      <c r="D112" s="170"/>
      <c r="E112" s="170"/>
      <c r="F112" s="170"/>
      <c r="G112" s="170"/>
      <c r="H112" s="170"/>
      <c r="I112" s="170"/>
      <c r="J112" s="170"/>
      <c r="K112" s="170"/>
      <c r="L112" s="170"/>
      <c r="M112" s="170"/>
      <c r="N112" s="170"/>
      <c r="O112" s="170"/>
      <c r="P112" s="170"/>
      <c r="Q112" s="170"/>
      <c r="R112" s="170"/>
      <c r="S112" s="170"/>
      <c r="T112" s="170"/>
      <c r="U112" s="170"/>
      <c r="V112" s="170"/>
      <c r="W112" s="170"/>
      <c r="X112" s="170"/>
      <c r="Y112" s="170"/>
      <c r="Z112" s="170"/>
      <c r="AA112" s="170"/>
      <c r="AB112" s="170"/>
      <c r="AC112" s="170"/>
      <c r="AD112" s="170"/>
      <c r="AE112" s="171"/>
    </row>
    <row r="113" spans="1:44" s="4" customFormat="1" ht="37.5">
      <c r="A113" s="113">
        <v>13</v>
      </c>
      <c r="B113" s="114" t="s">
        <v>40</v>
      </c>
      <c r="C113" s="74">
        <f t="shared" ref="C113" si="72">SUM(D113:F115)</f>
        <v>70</v>
      </c>
      <c r="D113" s="75">
        <f t="shared" ref="D113" si="73">SUM(G113:AD113)</f>
        <v>28</v>
      </c>
      <c r="E113" s="75"/>
      <c r="F113" s="112"/>
      <c r="G113" s="97">
        <v>2</v>
      </c>
      <c r="H113" s="97">
        <v>2</v>
      </c>
      <c r="I113" s="97">
        <v>2</v>
      </c>
      <c r="J113" s="97">
        <v>2</v>
      </c>
      <c r="K113" s="75">
        <v>2</v>
      </c>
      <c r="L113" s="74">
        <v>2</v>
      </c>
      <c r="M113" s="74">
        <v>2</v>
      </c>
      <c r="N113" s="74">
        <v>2</v>
      </c>
      <c r="O113" s="74">
        <v>2</v>
      </c>
      <c r="P113" s="74">
        <v>2</v>
      </c>
      <c r="Q113" s="97">
        <v>2</v>
      </c>
      <c r="R113" s="97">
        <v>2</v>
      </c>
      <c r="S113" s="97">
        <v>2</v>
      </c>
      <c r="T113" s="107">
        <v>2</v>
      </c>
      <c r="U113" s="74"/>
      <c r="V113" s="75"/>
      <c r="W113" s="75"/>
      <c r="X113" s="75"/>
      <c r="Y113" s="75"/>
      <c r="Z113" s="75"/>
      <c r="AA113" s="75"/>
      <c r="AB113" s="65"/>
      <c r="AC113" s="75"/>
      <c r="AD113" s="75"/>
      <c r="AE113" s="112" t="s">
        <v>19</v>
      </c>
      <c r="AM113" s="11"/>
      <c r="AN113" s="11"/>
      <c r="AO113" s="11"/>
      <c r="AP113" s="11"/>
      <c r="AQ113" s="11"/>
      <c r="AR113" s="11"/>
    </row>
    <row r="114" spans="1:44" s="4" customFormat="1">
      <c r="A114" s="84"/>
      <c r="B114" s="85"/>
      <c r="C114" s="71"/>
      <c r="D114" s="72"/>
      <c r="E114" s="72">
        <f t="shared" ref="E114" si="74">SUM(G114:AD114)</f>
        <v>36</v>
      </c>
      <c r="F114" s="73"/>
      <c r="G114" s="71">
        <v>2</v>
      </c>
      <c r="H114" s="72">
        <v>4</v>
      </c>
      <c r="I114" s="72">
        <v>2</v>
      </c>
      <c r="J114" s="71">
        <v>4</v>
      </c>
      <c r="K114" s="74">
        <v>2</v>
      </c>
      <c r="L114" s="75">
        <v>4</v>
      </c>
      <c r="M114" s="75">
        <v>2</v>
      </c>
      <c r="N114" s="75">
        <v>4</v>
      </c>
      <c r="O114" s="75">
        <v>2</v>
      </c>
      <c r="P114" s="75">
        <v>4</v>
      </c>
      <c r="Q114" s="71">
        <v>2</v>
      </c>
      <c r="R114" s="71">
        <v>4</v>
      </c>
      <c r="S114" s="72"/>
      <c r="T114" s="73"/>
      <c r="U114" s="71"/>
      <c r="V114" s="72"/>
      <c r="W114" s="72"/>
      <c r="X114" s="72"/>
      <c r="Y114" s="72"/>
      <c r="Z114" s="72"/>
      <c r="AA114" s="72"/>
      <c r="AB114" s="72"/>
      <c r="AC114" s="72"/>
      <c r="AD114" s="72"/>
      <c r="AE114" s="76"/>
      <c r="AM114" s="12"/>
      <c r="AN114" s="96"/>
      <c r="AO114" s="158"/>
      <c r="AP114" s="158"/>
      <c r="AQ114" s="11"/>
      <c r="AR114" s="11"/>
    </row>
    <row r="115" spans="1:44" s="4" customFormat="1" ht="19.5" thickBot="1">
      <c r="A115" s="88"/>
      <c r="B115" s="89"/>
      <c r="C115" s="79"/>
      <c r="D115" s="80"/>
      <c r="E115" s="80"/>
      <c r="F115" s="81">
        <f t="shared" ref="F115" si="75">SUM(G115:AD115)</f>
        <v>6</v>
      </c>
      <c r="G115" s="86"/>
      <c r="H115" s="87"/>
      <c r="I115" s="86"/>
      <c r="J115" s="79"/>
      <c r="K115" s="86"/>
      <c r="L115" s="87"/>
      <c r="M115" s="87"/>
      <c r="N115" s="87"/>
      <c r="O115" s="87"/>
      <c r="P115" s="87"/>
      <c r="Q115" s="86"/>
      <c r="R115" s="86"/>
      <c r="S115" s="87">
        <v>2</v>
      </c>
      <c r="T115" s="92">
        <v>4</v>
      </c>
      <c r="U115" s="86"/>
      <c r="V115" s="87"/>
      <c r="W115" s="87"/>
      <c r="X115" s="87"/>
      <c r="Y115" s="87"/>
      <c r="Z115" s="87"/>
      <c r="AA115" s="87"/>
      <c r="AB115" s="87"/>
      <c r="AC115" s="87"/>
      <c r="AD115" s="87"/>
      <c r="AE115" s="81">
        <v>9</v>
      </c>
      <c r="AM115" s="12"/>
      <c r="AN115" s="96"/>
      <c r="AO115" s="158"/>
      <c r="AP115" s="158"/>
      <c r="AQ115" s="11"/>
      <c r="AR115" s="11"/>
    </row>
    <row r="116" spans="1:44" ht="19.5" thickBot="1">
      <c r="A116" s="209" t="s">
        <v>62</v>
      </c>
      <c r="B116" s="209"/>
      <c r="C116" s="209"/>
      <c r="D116" s="209"/>
      <c r="E116" s="209"/>
      <c r="F116" s="209"/>
      <c r="G116" s="209"/>
      <c r="H116" s="209"/>
      <c r="I116" s="209"/>
      <c r="J116" s="209"/>
      <c r="K116" s="209"/>
      <c r="L116" s="209"/>
      <c r="M116" s="209"/>
      <c r="N116" s="209"/>
      <c r="O116" s="209"/>
      <c r="P116" s="209"/>
      <c r="Q116" s="209"/>
      <c r="R116" s="209"/>
      <c r="S116" s="209"/>
      <c r="T116" s="209"/>
      <c r="U116" s="209"/>
      <c r="V116" s="209"/>
      <c r="W116" s="209"/>
      <c r="X116" s="209"/>
      <c r="Y116" s="209"/>
      <c r="Z116" s="209"/>
      <c r="AA116" s="209"/>
      <c r="AB116" s="209"/>
      <c r="AC116" s="209"/>
      <c r="AD116" s="209"/>
      <c r="AE116" s="209"/>
    </row>
    <row r="117" spans="1:44" ht="19.5" thickBot="1">
      <c r="A117" s="159" t="s">
        <v>63</v>
      </c>
      <c r="B117" s="159"/>
      <c r="C117" s="159"/>
      <c r="D117" s="159"/>
      <c r="E117" s="159"/>
      <c r="F117" s="159"/>
      <c r="G117" s="159"/>
      <c r="H117" s="159"/>
      <c r="I117" s="159"/>
      <c r="J117" s="159"/>
      <c r="K117" s="160"/>
      <c r="L117" s="160"/>
      <c r="M117" s="160"/>
      <c r="N117" s="160"/>
      <c r="O117" s="160"/>
      <c r="P117" s="160"/>
      <c r="Q117" s="159"/>
      <c r="R117" s="159"/>
      <c r="S117" s="159"/>
      <c r="T117" s="159"/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59"/>
      <c r="AE117" s="159"/>
    </row>
    <row r="118" spans="1:44" s="4" customFormat="1" ht="37.5">
      <c r="A118" s="62">
        <v>13</v>
      </c>
      <c r="B118" s="63" t="s">
        <v>38</v>
      </c>
      <c r="C118" s="64">
        <f>SUM(D118:F120)</f>
        <v>50</v>
      </c>
      <c r="D118" s="65">
        <f>SUM(G118:L118)</f>
        <v>20</v>
      </c>
      <c r="E118" s="65"/>
      <c r="F118" s="66"/>
      <c r="G118" s="67">
        <v>4</v>
      </c>
      <c r="H118" s="68">
        <v>2</v>
      </c>
      <c r="I118" s="68">
        <v>4</v>
      </c>
      <c r="J118" s="67">
        <v>2</v>
      </c>
      <c r="K118" s="64">
        <v>4</v>
      </c>
      <c r="L118" s="65">
        <v>4</v>
      </c>
      <c r="M118" s="65"/>
      <c r="N118" s="65"/>
      <c r="O118" s="65"/>
      <c r="P118" s="65"/>
      <c r="Q118" s="64"/>
      <c r="R118" s="64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6" t="s">
        <v>44</v>
      </c>
    </row>
    <row r="119" spans="1:44" s="4" customFormat="1" ht="19.5">
      <c r="A119" s="69"/>
      <c r="B119" s="70"/>
      <c r="C119" s="71"/>
      <c r="D119" s="72"/>
      <c r="E119" s="72">
        <f>SUM(G119:L119)</f>
        <v>20</v>
      </c>
      <c r="F119" s="73"/>
      <c r="G119" s="71">
        <v>4</v>
      </c>
      <c r="H119" s="72">
        <v>6</v>
      </c>
      <c r="I119" s="72">
        <v>4</v>
      </c>
      <c r="J119" s="71">
        <v>6</v>
      </c>
      <c r="K119" s="74"/>
      <c r="L119" s="75"/>
      <c r="M119" s="75"/>
      <c r="N119" s="75"/>
      <c r="O119" s="75"/>
      <c r="P119" s="75"/>
      <c r="Q119" s="71"/>
      <c r="R119" s="71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6"/>
    </row>
    <row r="120" spans="1:44" s="4" customFormat="1" ht="21.75" customHeight="1" thickBot="1">
      <c r="A120" s="77"/>
      <c r="B120" s="78"/>
      <c r="C120" s="79"/>
      <c r="D120" s="80"/>
      <c r="E120" s="80"/>
      <c r="F120" s="81">
        <f>SUM(G120:L120)</f>
        <v>10</v>
      </c>
      <c r="G120" s="79"/>
      <c r="H120" s="80"/>
      <c r="I120" s="80"/>
      <c r="J120" s="79"/>
      <c r="K120" s="79">
        <v>4</v>
      </c>
      <c r="L120" s="80">
        <v>6</v>
      </c>
      <c r="M120" s="80"/>
      <c r="N120" s="80"/>
      <c r="O120" s="80"/>
      <c r="P120" s="80"/>
      <c r="Q120" s="79"/>
      <c r="R120" s="79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1">
        <v>36</v>
      </c>
      <c r="AM120" s="11"/>
      <c r="AN120" s="11"/>
      <c r="AO120" s="11"/>
      <c r="AP120" s="11"/>
      <c r="AQ120" s="11"/>
      <c r="AR120" s="11"/>
    </row>
  </sheetData>
  <mergeCells count="90">
    <mergeCell ref="A116:AE116"/>
    <mergeCell ref="A117:AE117"/>
    <mergeCell ref="A24:AE24"/>
    <mergeCell ref="AO26:AP26"/>
    <mergeCell ref="AO21:AP21"/>
    <mergeCell ref="AO22:AP22"/>
    <mergeCell ref="A28:AE28"/>
    <mergeCell ref="G5:H5"/>
    <mergeCell ref="A14:AE14"/>
    <mergeCell ref="A15:AE15"/>
    <mergeCell ref="A19:AE19"/>
    <mergeCell ref="L13:AO13"/>
    <mergeCell ref="AO115:AP115"/>
    <mergeCell ref="AO96:AP96"/>
    <mergeCell ref="AO100:AP100"/>
    <mergeCell ref="AO50:AP50"/>
    <mergeCell ref="A59:AE59"/>
    <mergeCell ref="AO90:AP90"/>
    <mergeCell ref="AO91:AP91"/>
    <mergeCell ref="AO99:AP99"/>
    <mergeCell ref="A112:AE112"/>
    <mergeCell ref="A92:AE92"/>
    <mergeCell ref="AO98:AP98"/>
    <mergeCell ref="A96:AE96"/>
    <mergeCell ref="A85:AE85"/>
    <mergeCell ref="AO76:AP76"/>
    <mergeCell ref="AO114:AP114"/>
    <mergeCell ref="A100:AE100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3:C3"/>
    <mergeCell ref="A67:AE67"/>
    <mergeCell ref="AO27:AP27"/>
    <mergeCell ref="S25:T27"/>
    <mergeCell ref="A60:AE60"/>
    <mergeCell ref="AO65:AP65"/>
    <mergeCell ref="AO66:AP66"/>
    <mergeCell ref="AO49:AP49"/>
    <mergeCell ref="AO57:AP57"/>
    <mergeCell ref="AO38:AP38"/>
    <mergeCell ref="AO39:AP39"/>
    <mergeCell ref="A36:AE36"/>
    <mergeCell ref="AO30:AP30"/>
    <mergeCell ref="AO31:AP31"/>
    <mergeCell ref="S29:T31"/>
    <mergeCell ref="AO34:AP34"/>
    <mergeCell ref="AO35:AP35"/>
    <mergeCell ref="A43:AE43"/>
    <mergeCell ref="A23:AE23"/>
    <mergeCell ref="AO87:AP87"/>
    <mergeCell ref="A32:AE32"/>
    <mergeCell ref="A47:AE47"/>
    <mergeCell ref="A51:AE51"/>
    <mergeCell ref="A55:AE55"/>
    <mergeCell ref="AO47:AP47"/>
    <mergeCell ref="AO53:AP53"/>
    <mergeCell ref="AO54:AP54"/>
    <mergeCell ref="AO58:AP58"/>
    <mergeCell ref="AO59:AP59"/>
    <mergeCell ref="A74:AE74"/>
    <mergeCell ref="AO77:AP77"/>
    <mergeCell ref="AO110:AP110"/>
    <mergeCell ref="AO111:AP111"/>
    <mergeCell ref="A108:AE108"/>
    <mergeCell ref="AO72:AP72"/>
    <mergeCell ref="AO73:AP73"/>
    <mergeCell ref="I68:T73"/>
    <mergeCell ref="AO88:AP88"/>
    <mergeCell ref="N75:Y77"/>
    <mergeCell ref="A101:AE101"/>
    <mergeCell ref="AO103:AP103"/>
    <mergeCell ref="AO104:AP104"/>
    <mergeCell ref="AO80:AP80"/>
    <mergeCell ref="AO81:AP81"/>
    <mergeCell ref="AO83:AP83"/>
    <mergeCell ref="AO84:AP84"/>
    <mergeCell ref="A78:AE78"/>
  </mergeCells>
  <conditionalFormatting sqref="A46">
    <cfRule type="expression" dxfId="65" priority="87" stopIfTrue="1">
      <formula>$DB22=1</formula>
    </cfRule>
  </conditionalFormatting>
  <conditionalFormatting sqref="A46:B46">
    <cfRule type="expression" dxfId="64" priority="85" stopIfTrue="1">
      <formula>$CV22&gt;0</formula>
    </cfRule>
    <cfRule type="expression" dxfId="63" priority="86" stopIfTrue="1">
      <formula>$CU22&gt;0</formula>
    </cfRule>
  </conditionalFormatting>
  <conditionalFormatting sqref="A46">
    <cfRule type="expression" dxfId="62" priority="84" stopIfTrue="1">
      <formula>$DB22=1</formula>
    </cfRule>
  </conditionalFormatting>
  <conditionalFormatting sqref="A46:B46">
    <cfRule type="expression" dxfId="61" priority="82" stopIfTrue="1">
      <formula>$CV22&gt;0</formula>
    </cfRule>
    <cfRule type="expression" dxfId="60" priority="83" stopIfTrue="1">
      <formula>$CU22&gt;0</formula>
    </cfRule>
  </conditionalFormatting>
  <conditionalFormatting sqref="A46">
    <cfRule type="expression" dxfId="59" priority="81" stopIfTrue="1">
      <formula>$DC22=1</formula>
    </cfRule>
  </conditionalFormatting>
  <conditionalFormatting sqref="A46:B46">
    <cfRule type="expression" dxfId="58" priority="79" stopIfTrue="1">
      <formula>$CW22&gt;0</formula>
    </cfRule>
    <cfRule type="expression" dxfId="57" priority="80" stopIfTrue="1">
      <formula>$CV22&gt;0</formula>
    </cfRule>
  </conditionalFormatting>
  <conditionalFormatting sqref="A95:B95 A107:B107">
    <cfRule type="expression" dxfId="56" priority="70" stopIfTrue="1">
      <formula>$CW91&gt;0</formula>
    </cfRule>
    <cfRule type="expression" dxfId="55" priority="71" stopIfTrue="1">
      <formula>$CV91&gt;0</formula>
    </cfRule>
  </conditionalFormatting>
  <conditionalFormatting sqref="A95 A107">
    <cfRule type="expression" dxfId="54" priority="78" stopIfTrue="1">
      <formula>$DB91=1</formula>
    </cfRule>
  </conditionalFormatting>
  <conditionalFormatting sqref="A95:B95 A107:B107">
    <cfRule type="expression" dxfId="53" priority="76" stopIfTrue="1">
      <formula>$CV91&gt;0</formula>
    </cfRule>
    <cfRule type="expression" dxfId="52" priority="77" stopIfTrue="1">
      <formula>$CU91&gt;0</formula>
    </cfRule>
  </conditionalFormatting>
  <conditionalFormatting sqref="A95">
    <cfRule type="expression" dxfId="51" priority="75" stopIfTrue="1">
      <formula>$DB91=1</formula>
    </cfRule>
  </conditionalFormatting>
  <conditionalFormatting sqref="A95:B95 A107:B107">
    <cfRule type="expression" dxfId="50" priority="73" stopIfTrue="1">
      <formula>$CV91&gt;0</formula>
    </cfRule>
    <cfRule type="expression" dxfId="49" priority="74" stopIfTrue="1">
      <formula>$CU91&gt;0</formula>
    </cfRule>
  </conditionalFormatting>
  <conditionalFormatting sqref="A95 A107">
    <cfRule type="expression" dxfId="48" priority="72" stopIfTrue="1">
      <formula>$DC91=1</formula>
    </cfRule>
  </conditionalFormatting>
  <conditionalFormatting sqref="A63">
    <cfRule type="expression" dxfId="47" priority="69" stopIfTrue="1">
      <formula>$DB59=1</formula>
    </cfRule>
  </conditionalFormatting>
  <conditionalFormatting sqref="A63:B63">
    <cfRule type="expression" dxfId="46" priority="67" stopIfTrue="1">
      <formula>$CV59&gt;0</formula>
    </cfRule>
    <cfRule type="expression" dxfId="45" priority="68" stopIfTrue="1">
      <formula>$CU59&gt;0</formula>
    </cfRule>
  </conditionalFormatting>
  <conditionalFormatting sqref="A63">
    <cfRule type="expression" dxfId="44" priority="66" stopIfTrue="1">
      <formula>$DB59=1</formula>
    </cfRule>
  </conditionalFormatting>
  <conditionalFormatting sqref="A63:B63">
    <cfRule type="expression" dxfId="43" priority="64" stopIfTrue="1">
      <formula>$CV59&gt;0</formula>
    </cfRule>
    <cfRule type="expression" dxfId="42" priority="65" stopIfTrue="1">
      <formula>$CU59&gt;0</formula>
    </cfRule>
  </conditionalFormatting>
  <conditionalFormatting sqref="A63">
    <cfRule type="expression" dxfId="41" priority="63" stopIfTrue="1">
      <formula>$DC59=1</formula>
    </cfRule>
  </conditionalFormatting>
  <conditionalFormatting sqref="A63:B63">
    <cfRule type="expression" dxfId="40" priority="61" stopIfTrue="1">
      <formula>$CW59&gt;0</formula>
    </cfRule>
    <cfRule type="expression" dxfId="39" priority="62" stopIfTrue="1">
      <formula>$CV59&gt;0</formula>
    </cfRule>
  </conditionalFormatting>
  <conditionalFormatting sqref="A70">
    <cfRule type="expression" dxfId="38" priority="60" stopIfTrue="1">
      <formula>$DB66=1</formula>
    </cfRule>
  </conditionalFormatting>
  <conditionalFormatting sqref="A70:B70">
    <cfRule type="expression" dxfId="37" priority="58" stopIfTrue="1">
      <formula>$CV66&gt;0</formula>
    </cfRule>
    <cfRule type="expression" dxfId="36" priority="59" stopIfTrue="1">
      <formula>$CU66&gt;0</formula>
    </cfRule>
  </conditionalFormatting>
  <conditionalFormatting sqref="A70">
    <cfRule type="expression" dxfId="35" priority="57" stopIfTrue="1">
      <formula>$DB66=1</formula>
    </cfRule>
  </conditionalFormatting>
  <conditionalFormatting sqref="A70:B70">
    <cfRule type="expression" dxfId="34" priority="55" stopIfTrue="1">
      <formula>$CV66&gt;0</formula>
    </cfRule>
    <cfRule type="expression" dxfId="33" priority="56" stopIfTrue="1">
      <formula>$CU66&gt;0</formula>
    </cfRule>
  </conditionalFormatting>
  <conditionalFormatting sqref="A70">
    <cfRule type="expression" dxfId="32" priority="54" stopIfTrue="1">
      <formula>$DC66=1</formula>
    </cfRule>
  </conditionalFormatting>
  <conditionalFormatting sqref="A70:B70">
    <cfRule type="expression" dxfId="31" priority="52" stopIfTrue="1">
      <formula>$CW66&gt;0</formula>
    </cfRule>
    <cfRule type="expression" dxfId="30" priority="53" stopIfTrue="1">
      <formula>$CV66&gt;0</formula>
    </cfRule>
  </conditionalFormatting>
  <conditionalFormatting sqref="B104">
    <cfRule type="expression" dxfId="29" priority="32" stopIfTrue="1">
      <formula>$CV100&gt;0</formula>
    </cfRule>
    <cfRule type="expression" dxfId="28" priority="33" stopIfTrue="1">
      <formula>$CU100&gt;0</formula>
    </cfRule>
  </conditionalFormatting>
  <conditionalFormatting sqref="B104">
    <cfRule type="expression" dxfId="27" priority="30" stopIfTrue="1">
      <formula>$CV100&gt;0</formula>
    </cfRule>
    <cfRule type="expression" dxfId="26" priority="31" stopIfTrue="1">
      <formula>$CU100&gt;0</formula>
    </cfRule>
  </conditionalFormatting>
  <conditionalFormatting sqref="B104">
    <cfRule type="expression" dxfId="25" priority="28" stopIfTrue="1">
      <formula>$CW100&gt;0</formula>
    </cfRule>
    <cfRule type="expression" dxfId="24" priority="29" stopIfTrue="1">
      <formula>$CV100&gt;0</formula>
    </cfRule>
  </conditionalFormatting>
  <conditionalFormatting sqref="B104">
    <cfRule type="expression" dxfId="23" priority="26" stopIfTrue="1">
      <formula>$CV100&gt;0</formula>
    </cfRule>
    <cfRule type="expression" dxfId="22" priority="27" stopIfTrue="1">
      <formula>$CU100&gt;0</formula>
    </cfRule>
  </conditionalFormatting>
  <conditionalFormatting sqref="B104">
    <cfRule type="expression" dxfId="21" priority="24" stopIfTrue="1">
      <formula>$CV100&gt;0</formula>
    </cfRule>
    <cfRule type="expression" dxfId="20" priority="25" stopIfTrue="1">
      <formula>$CU100&gt;0</formula>
    </cfRule>
  </conditionalFormatting>
  <conditionalFormatting sqref="B104">
    <cfRule type="expression" dxfId="19" priority="22" stopIfTrue="1">
      <formula>$CW100&gt;0</formula>
    </cfRule>
    <cfRule type="expression" dxfId="18" priority="23" stopIfTrue="1">
      <formula>$CV100&gt;0</formula>
    </cfRule>
  </conditionalFormatting>
  <conditionalFormatting sqref="A120">
    <cfRule type="expression" dxfId="17" priority="9" stopIfTrue="1">
      <formula>$DB116=1</formula>
    </cfRule>
  </conditionalFormatting>
  <conditionalFormatting sqref="A120:B120">
    <cfRule type="expression" dxfId="15" priority="7" stopIfTrue="1">
      <formula>$CV116&gt;0</formula>
    </cfRule>
    <cfRule type="expression" dxfId="14" priority="8" stopIfTrue="1">
      <formula>$CU116&gt;0</formula>
    </cfRule>
  </conditionalFormatting>
  <conditionalFormatting sqref="A120">
    <cfRule type="expression" dxfId="11" priority="6" stopIfTrue="1">
      <formula>$DB116=1</formula>
    </cfRule>
  </conditionalFormatting>
  <conditionalFormatting sqref="A120:B120">
    <cfRule type="expression" dxfId="9" priority="4" stopIfTrue="1">
      <formula>$CV116&gt;0</formula>
    </cfRule>
    <cfRule type="expression" dxfId="8" priority="5" stopIfTrue="1">
      <formula>$CU116&gt;0</formula>
    </cfRule>
  </conditionalFormatting>
  <conditionalFormatting sqref="A120">
    <cfRule type="expression" dxfId="5" priority="3" stopIfTrue="1">
      <formula>$DC116=1</formula>
    </cfRule>
  </conditionalFormatting>
  <conditionalFormatting sqref="A120:B120">
    <cfRule type="expression" dxfId="3" priority="1" stopIfTrue="1">
      <formula>$CW116&gt;0</formula>
    </cfRule>
    <cfRule type="expression" dxfId="2" priority="2" stopIfTrue="1">
      <formula>$CV116&gt;0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2021-10-27T11:43:50Z</dcterms:modified>
</cp:coreProperties>
</file>