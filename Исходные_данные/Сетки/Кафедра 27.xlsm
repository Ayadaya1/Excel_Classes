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184" i="1"/>
  <c r="E183"/>
  <c r="D182"/>
  <c r="C182"/>
  <c r="F180"/>
  <c r="E179"/>
  <c r="C178" s="1"/>
  <c r="D178"/>
  <c r="F176" l="1"/>
  <c r="E175"/>
  <c r="D174"/>
  <c r="F172"/>
  <c r="E171"/>
  <c r="D170"/>
  <c r="C174" l="1"/>
  <c r="C170"/>
  <c r="F97"/>
  <c r="E96"/>
  <c r="D95"/>
  <c r="F93"/>
  <c r="E92"/>
  <c r="D91"/>
  <c r="F27"/>
  <c r="E26"/>
  <c r="D25"/>
  <c r="C25" l="1"/>
  <c r="C91"/>
  <c r="C95"/>
  <c r="F214"/>
  <c r="E213"/>
  <c r="D212"/>
  <c r="C212" s="1"/>
  <c r="F210" l="1"/>
  <c r="E209"/>
  <c r="D208"/>
  <c r="F207"/>
  <c r="E206"/>
  <c r="D205"/>
  <c r="F204"/>
  <c r="E203"/>
  <c r="D202"/>
  <c r="C202" l="1"/>
  <c r="C205"/>
  <c r="C208"/>
  <c r="F200"/>
  <c r="E199"/>
  <c r="D198"/>
  <c r="C198" s="1"/>
  <c r="F197"/>
  <c r="E196"/>
  <c r="D195"/>
  <c r="F194"/>
  <c r="E193"/>
  <c r="D192"/>
  <c r="F191"/>
  <c r="E190"/>
  <c r="D189"/>
  <c r="F188"/>
  <c r="E187"/>
  <c r="D186"/>
  <c r="C186" s="1"/>
  <c r="C189" l="1"/>
  <c r="C195"/>
  <c r="C192"/>
  <c r="F167"/>
  <c r="E166"/>
  <c r="D165"/>
  <c r="C165" s="1"/>
  <c r="F163" l="1"/>
  <c r="E162"/>
  <c r="D161"/>
  <c r="F160"/>
  <c r="E159"/>
  <c r="D158"/>
  <c r="C158" s="1"/>
  <c r="F157"/>
  <c r="E156"/>
  <c r="D155"/>
  <c r="F154"/>
  <c r="E153"/>
  <c r="D152"/>
  <c r="F151"/>
  <c r="E150"/>
  <c r="D149"/>
  <c r="F148"/>
  <c r="E147"/>
  <c r="D146"/>
  <c r="C146" s="1"/>
  <c r="F145"/>
  <c r="E144"/>
  <c r="D143"/>
  <c r="C149" l="1"/>
  <c r="C161"/>
  <c r="C152"/>
  <c r="C143"/>
  <c r="C155"/>
  <c r="F141"/>
  <c r="E140"/>
  <c r="D139"/>
  <c r="C139" l="1"/>
  <c r="F137"/>
  <c r="E136"/>
  <c r="D135"/>
  <c r="F134"/>
  <c r="E133"/>
  <c r="D132"/>
  <c r="F131"/>
  <c r="E130"/>
  <c r="D129"/>
  <c r="C129" s="1"/>
  <c r="F128"/>
  <c r="E127"/>
  <c r="D126"/>
  <c r="C135" l="1"/>
  <c r="C126"/>
  <c r="C132"/>
  <c r="F124"/>
  <c r="E123"/>
  <c r="D122"/>
  <c r="C122" s="1"/>
  <c r="F121"/>
  <c r="E120"/>
  <c r="D119"/>
  <c r="F118"/>
  <c r="E117"/>
  <c r="D116"/>
  <c r="F115"/>
  <c r="E114"/>
  <c r="D113"/>
  <c r="F112"/>
  <c r="E111"/>
  <c r="D110"/>
  <c r="C110" s="1"/>
  <c r="F109"/>
  <c r="E108"/>
  <c r="D107"/>
  <c r="C113" l="1"/>
  <c r="C116"/>
  <c r="C107"/>
  <c r="C119"/>
  <c r="F105"/>
  <c r="E104"/>
  <c r="D103"/>
  <c r="C103" l="1"/>
  <c r="F101"/>
  <c r="E100"/>
  <c r="D99"/>
  <c r="C99" l="1"/>
  <c r="F88"/>
  <c r="E87"/>
  <c r="D86"/>
  <c r="C86" l="1"/>
  <c r="F84"/>
  <c r="E83"/>
  <c r="D82"/>
  <c r="C82" l="1"/>
  <c r="F80"/>
  <c r="E79"/>
  <c r="D78"/>
  <c r="C78" l="1"/>
  <c r="F76"/>
  <c r="E75"/>
  <c r="D74"/>
  <c r="C74" l="1"/>
  <c r="F72"/>
  <c r="E71"/>
  <c r="D70"/>
  <c r="C70" l="1"/>
  <c r="F68"/>
  <c r="E67"/>
  <c r="D66"/>
  <c r="F65"/>
  <c r="E64"/>
  <c r="D63"/>
  <c r="C63" l="1"/>
  <c r="C66"/>
  <c r="F61"/>
  <c r="E60"/>
  <c r="D59"/>
  <c r="F58"/>
  <c r="E57"/>
  <c r="D56"/>
  <c r="F55"/>
  <c r="E54"/>
  <c r="D53"/>
  <c r="F52"/>
  <c r="E51"/>
  <c r="D50"/>
  <c r="F49"/>
  <c r="E48"/>
  <c r="D47"/>
  <c r="C53" l="1"/>
  <c r="C56"/>
  <c r="C47"/>
  <c r="C59"/>
  <c r="C50"/>
  <c r="F45"/>
  <c r="E44"/>
  <c r="D43"/>
  <c r="F42"/>
  <c r="E41"/>
  <c r="D40"/>
  <c r="F39"/>
  <c r="E38"/>
  <c r="D37"/>
  <c r="C40" l="1"/>
  <c r="C43"/>
  <c r="C37"/>
  <c r="F35"/>
  <c r="E34"/>
  <c r="D33"/>
  <c r="C33" l="1"/>
  <c r="F31"/>
  <c r="E30"/>
  <c r="D29"/>
  <c r="C29" l="1"/>
  <c r="F22"/>
  <c r="E21"/>
  <c r="D20"/>
  <c r="F18"/>
  <c r="E17"/>
  <c r="D16"/>
  <c r="C16" l="1"/>
  <c r="C20"/>
</calcChain>
</file>

<file path=xl/sharedStrings.xml><?xml version="1.0" encoding="utf-8"?>
<sst xmlns="http://schemas.openxmlformats.org/spreadsheetml/2006/main" count="171" uniqueCount="85">
  <si>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</si>
  <si>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</si>
  <si>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</si>
  <si>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</si>
  <si>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</si>
  <si>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</si>
  <si>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</si>
  <si>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</si>
  <si>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</si>
  <si>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</si>
  <si>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</si>
  <si>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</si>
  <si>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</si>
  <si>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</si>
  <si>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</si>
  <si>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</si>
  <si>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</si>
  <si>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</si>
  <si>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 xml:space="preserve">                                            Кафедра № 27</t>
  </si>
  <si>
    <t>Дисциплины кафедры № 27</t>
  </si>
  <si>
    <t>Авиационная безопасность</t>
  </si>
  <si>
    <t>Зачет</t>
  </si>
  <si>
    <t xml:space="preserve">                                       Дисциплины 313 (ОАБ)</t>
  </si>
  <si>
    <t>Безопасность жизнедеятельности</t>
  </si>
  <si>
    <t>Экзамен</t>
  </si>
  <si>
    <t xml:space="preserve">                                       Дисциплины 414 (ПрОСВТ)</t>
  </si>
  <si>
    <t xml:space="preserve">               2 КУРС</t>
  </si>
  <si>
    <t xml:space="preserve">Экзамен </t>
  </si>
  <si>
    <t xml:space="preserve">                                       Дисциплины 205 (ОРТОП)</t>
  </si>
  <si>
    <t xml:space="preserve">                                       Дисциплины 206 (ОрТОР)</t>
  </si>
  <si>
    <t>Теория горения и взрыва</t>
  </si>
  <si>
    <t>Научно-исследовательская работа обучающегося</t>
  </si>
  <si>
    <t>Факультатив</t>
  </si>
  <si>
    <t xml:space="preserve">                                       Дисциплины 307 (БТПП)</t>
  </si>
  <si>
    <t>Дифф. зачет</t>
  </si>
  <si>
    <t>Производственная безопасность</t>
  </si>
  <si>
    <t>Информационная безопасность</t>
  </si>
  <si>
    <t>Психология стресса</t>
  </si>
  <si>
    <t>Медико - биологические основы безопасности</t>
  </si>
  <si>
    <t xml:space="preserve">                                       Дисциплины 303 (ОАБ)</t>
  </si>
  <si>
    <t xml:space="preserve">                                       Дисциплины 309 (ОБПрВТ)</t>
  </si>
  <si>
    <t xml:space="preserve">                                       Дисциплины 306 (ООТБ)</t>
  </si>
  <si>
    <t xml:space="preserve">                                       Дисциплины 308 (УПО)</t>
  </si>
  <si>
    <t xml:space="preserve">                                       Дисциплины 304 (ЭПОВТ)</t>
  </si>
  <si>
    <t xml:space="preserve">                                       Дисциплины 404 (ПрОСВТ)</t>
  </si>
  <si>
    <t xml:space="preserve">Дифф.зачет </t>
  </si>
  <si>
    <t xml:space="preserve">                                       Дисциплины 403 (СНТ)</t>
  </si>
  <si>
    <t xml:space="preserve">                                       Дисциплины 293, 294 (ОрАД)</t>
  </si>
  <si>
    <t xml:space="preserve">                                       Дисциплины 391 (АСУВД)</t>
  </si>
  <si>
    <t xml:space="preserve">               3 КУРС</t>
  </si>
  <si>
    <t>Управление безопасностью труда</t>
  </si>
  <si>
    <t>Защита в чрезвычайных ситуациях</t>
  </si>
  <si>
    <t>КР</t>
  </si>
  <si>
    <t>Безопасность транспортного процесса</t>
  </si>
  <si>
    <t>Производственная санитария и гигиена труда</t>
  </si>
  <si>
    <t xml:space="preserve">                                       Дисциплины 397 (БТПП)</t>
  </si>
  <si>
    <t>Организация и обеспечение авиационной безопасности</t>
  </si>
  <si>
    <t xml:space="preserve">Зачет </t>
  </si>
  <si>
    <t>Надзор и контроль в сфере безопасности</t>
  </si>
  <si>
    <t xml:space="preserve">                                       Дисциплины 393 (ОАБ)</t>
  </si>
  <si>
    <t xml:space="preserve">                                       Дисциплины 390 (МПОСУ)</t>
  </si>
  <si>
    <t>Безопасность транспортных процессов</t>
  </si>
  <si>
    <t>Управление рисками</t>
  </si>
  <si>
    <t>Силы транспортной безопасности</t>
  </si>
  <si>
    <t>Специальная подготовка и применение специальных средств</t>
  </si>
  <si>
    <t xml:space="preserve">                                       Дисциплины 396 (ООТБ)</t>
  </si>
  <si>
    <t xml:space="preserve">                                       Дисциплины 491, 492 (РЕК)</t>
  </si>
  <si>
    <t>Управление авиационной безопасностью</t>
  </si>
  <si>
    <t>Дифф.зачет</t>
  </si>
  <si>
    <t>Специальная подготовка и аттестация сил авиационной безопасности</t>
  </si>
  <si>
    <t xml:space="preserve">Организация аварийно-спасательных и противопожарных работ </t>
  </si>
  <si>
    <t>Методика выполнения выпускной квалификационной работы</t>
  </si>
  <si>
    <t>факультатив</t>
  </si>
  <si>
    <t xml:space="preserve">               4 КУРС</t>
  </si>
  <si>
    <t xml:space="preserve">                                       Дисциплины 383 (ОАБ)</t>
  </si>
  <si>
    <t>Человеческий фактор в обеспечении транспортной безопасности</t>
  </si>
  <si>
    <t xml:space="preserve">                                       Дисциплины 386 (ООТБ)</t>
  </si>
  <si>
    <t xml:space="preserve">                                       Дисциплины 387 (БТПП)</t>
  </si>
  <si>
    <t>Дисциплины 103-104 (ЛЭГВС)</t>
  </si>
  <si>
    <t>Дисциплины 190,191,192а (ОЛР)</t>
  </si>
  <si>
    <t>Дисциплины 192 (ОЛР)</t>
  </si>
  <si>
    <t>Дисциплины  183 (ЛЭГВС)</t>
  </si>
  <si>
    <t>Дисциплины  184 (ЛЭГВС)</t>
  </si>
  <si>
    <t>Дисциплины  184а (ЛЭГВС)</t>
  </si>
  <si>
    <t>Дисциплины   185,186,187,187а  (ИВП)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</si>
</sst>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26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3" fillId="0" borderId="16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31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31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50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41" xfId="0" applyFont="1" applyFill="1" applyBorder="1" applyAlignment="1">
      <alignment vertical="center" wrapText="1"/>
    </xf>
    <xf numFmtId="0" fontId="3" fillId="0" borderId="5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7" fillId="0" borderId="16" xfId="0" applyFont="1" applyFill="1" applyBorder="1" applyAlignment="1">
      <alignment wrapText="1"/>
    </xf>
    <xf numFmtId="0" fontId="3" fillId="0" borderId="53" xfId="0" applyFont="1" applyFill="1" applyBorder="1" applyAlignment="1">
      <alignment vertical="center" wrapText="1"/>
    </xf>
    <xf numFmtId="0" fontId="3" fillId="0" borderId="18" xfId="0" applyFont="1" applyFill="1" applyBorder="1" applyAlignment="1">
      <alignment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54" xfId="0" applyFont="1" applyFill="1" applyBorder="1" applyAlignment="1">
      <alignment horizontal="center"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vertical="center" wrapText="1"/>
    </xf>
    <xf numFmtId="0" fontId="3" fillId="0" borderId="58" xfId="0" applyFont="1" applyFill="1" applyBorder="1" applyAlignment="1">
      <alignment vertical="center" wrapText="1"/>
    </xf>
    <xf numFmtId="0" fontId="3" fillId="0" borderId="6" xfId="0" applyFont="1" applyFill="1" applyBorder="1" applyAlignment="1">
      <alignment vertical="center" wrapText="1"/>
    </xf>
    <xf numFmtId="0" fontId="3" fillId="0" borderId="13" xfId="0" applyFont="1" applyFill="1" applyBorder="1" applyAlignment="1">
      <alignment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59" xfId="0" applyFont="1" applyFill="1" applyBorder="1" applyAlignment="1">
      <alignment horizontal="center" vertical="center" wrapText="1"/>
    </xf>
    <xf numFmtId="0" fontId="7" fillId="3" borderId="60" xfId="0" applyFont="1" applyFill="1" applyBorder="1" applyAlignment="1">
      <alignment wrapText="1"/>
    </xf>
    <xf numFmtId="0" fontId="7" fillId="3" borderId="45" xfId="0" applyFont="1" applyFill="1" applyBorder="1" applyAlignment="1">
      <alignment horizontal="center" vertical="center" wrapText="1"/>
    </xf>
    <xf numFmtId="0" fontId="3" fillId="0" borderId="61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  <xf numFmtId="0" fontId="7" fillId="0" borderId="42" xfId="0" applyFont="1" applyFill="1" applyBorder="1" applyAlignment="1">
      <alignment wrapText="1"/>
    </xf>
    <xf numFmtId="0" fontId="3" fillId="0" borderId="62" xfId="0" applyFont="1" applyFill="1" applyBorder="1" applyAlignment="1">
      <alignment horizontal="center" vertical="center" wrapText="1"/>
    </xf>
    <xf numFmtId="0" fontId="3" fillId="0" borderId="64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42" xfId="0" applyFont="1" applyFill="1" applyBorder="1" applyAlignment="1">
      <alignment horizontal="center" vertical="center" wrapText="1"/>
    </xf>
    <xf numFmtId="0" fontId="3" fillId="0" borderId="43" xfId="0" applyFont="1" applyFill="1" applyBorder="1" applyAlignment="1">
      <alignment horizontal="center" vertical="center" wrapText="1"/>
    </xf>
    <xf numFmtId="0" fontId="3" fillId="0" borderId="63" xfId="0" applyFont="1" applyFill="1" applyBorder="1" applyAlignment="1">
      <alignment horizontal="center" vertical="center" wrapText="1"/>
    </xf>
    <xf numFmtId="0" fontId="7" fillId="0" borderId="15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vertical="center" wrapText="1"/>
    </xf>
    <xf numFmtId="0" fontId="3" fillId="0" borderId="7" xfId="0" applyFont="1" applyFill="1" applyBorder="1" applyAlignment="1">
      <alignment vertical="center" wrapText="1"/>
    </xf>
    <xf numFmtId="0" fontId="7" fillId="3" borderId="67" xfId="0" applyFont="1" applyFill="1" applyBorder="1" applyAlignment="1">
      <alignment horizontal="center" vertical="center" wrapText="1"/>
    </xf>
    <xf numFmtId="0" fontId="7" fillId="3" borderId="68" xfId="0" applyFont="1" applyFill="1" applyBorder="1" applyAlignment="1">
      <alignment wrapText="1"/>
    </xf>
    <xf numFmtId="0" fontId="3" fillId="3" borderId="62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  <xf numFmtId="0" fontId="3" fillId="3" borderId="63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55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56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57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0" fontId="2" fillId="0" borderId="40" xfId="0" applyFont="1" applyFill="1" applyBorder="1" applyAlignment="1">
      <alignment horizontal="center" wrapText="1"/>
    </xf>
    <xf numFmtId="0" fontId="2" fillId="0" borderId="66" xfId="0" applyFont="1" applyFill="1" applyBorder="1" applyAlignment="1">
      <alignment horizontal="center" wrapText="1"/>
    </xf>
    <xf numFmtId="0" fontId="9" fillId="2" borderId="20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51" xfId="0" applyFont="1" applyBorder="1" applyAlignment="1">
      <alignment horizont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28" xfId="0" applyFont="1" applyFill="1" applyBorder="1" applyAlignment="1">
      <alignment horizontal="center" wrapText="1"/>
    </xf>
    <xf numFmtId="0" fontId="3" fillId="0" borderId="0" xfId="0" applyFont="1" applyFill="1" applyAlignment="1">
      <alignment horizontal="center" wrapText="1"/>
    </xf>
  </cellXfs>
  <cellStyles count="2">
    <cellStyle name="Обычный" xfId="0" builtinId="0"/>
    <cellStyle name="Обычный 3" xfId="1"/>
  </cellStyles>
  <dxfs count="18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214"/>
  <sheetViews>
    <sheetView tabSelected="1" topLeftCell="A163" zoomScale="70" zoomScaleNormal="70" workbookViewId="0">
      <selection activeCell="A181" sqref="A181:AE181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98" t="s">
        <v>15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93"/>
    </row>
    <row r="2" spans="1:44">
      <c r="A2" s="199" t="s">
        <v>16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</row>
    <row r="3" spans="1:44" ht="18.75" customHeight="1">
      <c r="A3" s="223"/>
      <c r="B3" s="223"/>
      <c r="C3" s="223"/>
      <c r="H3" s="200" t="s">
        <v>18</v>
      </c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206" t="s">
        <v>1</v>
      </c>
      <c r="B5" s="209" t="s">
        <v>0</v>
      </c>
      <c r="C5" s="201" t="s">
        <v>4</v>
      </c>
      <c r="D5" s="202"/>
      <c r="E5" s="202"/>
      <c r="F5" s="202"/>
      <c r="G5" s="193" t="s">
        <v>9</v>
      </c>
      <c r="H5" s="194"/>
      <c r="I5" s="215" t="s">
        <v>10</v>
      </c>
      <c r="J5" s="216"/>
      <c r="K5" s="216"/>
      <c r="L5" s="217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215" t="s">
        <v>13</v>
      </c>
      <c r="V5" s="194"/>
      <c r="W5" s="216"/>
      <c r="X5" s="216"/>
      <c r="Y5" s="54"/>
      <c r="Z5" s="215" t="s">
        <v>14</v>
      </c>
      <c r="AA5" s="216"/>
      <c r="AB5" s="216"/>
      <c r="AC5" s="216"/>
      <c r="AD5" s="61"/>
      <c r="AE5" s="209" t="s">
        <v>5</v>
      </c>
    </row>
    <row r="6" spans="1:44" ht="20.100000000000001" customHeight="1" thickBot="1">
      <c r="A6" s="207"/>
      <c r="B6" s="210"/>
      <c r="C6" s="203"/>
      <c r="D6" s="204"/>
      <c r="E6" s="204"/>
      <c r="F6" s="205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210"/>
    </row>
    <row r="7" spans="1:44" ht="20.100000000000001" customHeight="1" thickBot="1">
      <c r="A7" s="207"/>
      <c r="B7" s="210"/>
      <c r="C7" s="212" t="s">
        <v>2</v>
      </c>
      <c r="D7" s="220" t="s">
        <v>3</v>
      </c>
      <c r="E7" s="221"/>
      <c r="F7" s="222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210"/>
    </row>
    <row r="8" spans="1:44" ht="20.100000000000001" customHeight="1">
      <c r="A8" s="207"/>
      <c r="B8" s="210"/>
      <c r="C8" s="213"/>
      <c r="D8" s="218" t="s">
        <v>6</v>
      </c>
      <c r="E8" s="213" t="s">
        <v>7</v>
      </c>
      <c r="F8" s="213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210"/>
    </row>
    <row r="9" spans="1:44" s="4" customFormat="1" ht="20.100000000000001" customHeight="1" thickBot="1">
      <c r="A9" s="207"/>
      <c r="B9" s="210"/>
      <c r="C9" s="213"/>
      <c r="D9" s="218"/>
      <c r="E9" s="213"/>
      <c r="F9" s="213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205"/>
    </row>
    <row r="10" spans="1:44" s="4" customFormat="1" ht="20.100000000000001" customHeight="1">
      <c r="A10" s="207"/>
      <c r="B10" s="210"/>
      <c r="C10" s="213"/>
      <c r="D10" s="218"/>
      <c r="E10" s="213"/>
      <c r="F10" s="213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210"/>
    </row>
    <row r="11" spans="1:44" s="4" customFormat="1" ht="20.100000000000001" customHeight="1" thickBot="1">
      <c r="A11" s="207"/>
      <c r="B11" s="210"/>
      <c r="C11" s="213"/>
      <c r="D11" s="218"/>
      <c r="E11" s="213"/>
      <c r="F11" s="213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210"/>
    </row>
    <row r="12" spans="1:44" s="4" customFormat="1" ht="20.100000000000001" customHeight="1" thickBot="1">
      <c r="A12" s="208"/>
      <c r="B12" s="211"/>
      <c r="C12" s="214"/>
      <c r="D12" s="219"/>
      <c r="E12" s="214"/>
      <c r="F12" s="214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211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95" t="s">
        <v>19</v>
      </c>
      <c r="M13" s="195"/>
      <c r="N13" s="195"/>
      <c r="O13" s="195"/>
      <c r="P13" s="195"/>
      <c r="Q13" s="195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95"/>
      <c r="AJ13" s="195"/>
      <c r="AK13" s="195"/>
      <c r="AL13" s="195"/>
      <c r="AM13" s="195"/>
      <c r="AN13" s="195"/>
      <c r="AO13" s="195"/>
    </row>
    <row r="14" spans="1:44" s="4" customFormat="1" ht="19.5" customHeight="1" thickBot="1">
      <c r="A14" s="196" t="s">
        <v>17</v>
      </c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  <c r="AM14" s="12"/>
      <c r="AN14" s="96"/>
      <c r="AO14" s="97"/>
      <c r="AP14" s="97"/>
      <c r="AQ14" s="11"/>
      <c r="AR14" s="11"/>
    </row>
    <row r="15" spans="1:44" s="4" customFormat="1" ht="19.5" thickBot="1">
      <c r="A15" s="185" t="s">
        <v>22</v>
      </c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7"/>
      <c r="AM15" s="11"/>
      <c r="AN15" s="11"/>
      <c r="AO15" s="11"/>
      <c r="AP15" s="11"/>
      <c r="AQ15" s="11"/>
      <c r="AR15" s="11"/>
    </row>
    <row r="16" spans="1:44" ht="37.5">
      <c r="A16" s="82">
        <v>27</v>
      </c>
      <c r="B16" s="83" t="s">
        <v>20</v>
      </c>
      <c r="C16" s="64">
        <f t="shared" ref="C16" si="0">SUM(D16:F18)</f>
        <v>54</v>
      </c>
      <c r="D16" s="65">
        <f t="shared" ref="D16" si="1">SUM(G16:X16)</f>
        <v>18</v>
      </c>
      <c r="E16" s="65"/>
      <c r="F16" s="66"/>
      <c r="G16" s="67">
        <v>2</v>
      </c>
      <c r="H16" s="68"/>
      <c r="I16" s="68">
        <v>2</v>
      </c>
      <c r="J16" s="67"/>
      <c r="K16" s="64">
        <v>2</v>
      </c>
      <c r="L16" s="65"/>
      <c r="M16" s="65">
        <v>2</v>
      </c>
      <c r="N16" s="65"/>
      <c r="O16" s="65">
        <v>2</v>
      </c>
      <c r="P16" s="65"/>
      <c r="Q16" s="64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6"/>
      <c r="Y16" s="64"/>
      <c r="Z16" s="65"/>
      <c r="AA16" s="65"/>
      <c r="AB16" s="65"/>
      <c r="AC16" s="65"/>
      <c r="AD16" s="65"/>
      <c r="AE16" s="66" t="s">
        <v>21</v>
      </c>
    </row>
    <row r="17" spans="1:44">
      <c r="A17" s="84"/>
      <c r="B17" s="85"/>
      <c r="C17" s="71"/>
      <c r="D17" s="72"/>
      <c r="E17" s="72">
        <f t="shared" ref="E17" si="2">SUM(G17:X17)</f>
        <v>36</v>
      </c>
      <c r="F17" s="73"/>
      <c r="G17" s="71">
        <v>2</v>
      </c>
      <c r="H17" s="71">
        <v>2</v>
      </c>
      <c r="I17" s="71">
        <v>2</v>
      </c>
      <c r="J17" s="71">
        <v>2</v>
      </c>
      <c r="K17" s="71">
        <v>2</v>
      </c>
      <c r="L17" s="71">
        <v>2</v>
      </c>
      <c r="M17" s="71">
        <v>2</v>
      </c>
      <c r="N17" s="71">
        <v>2</v>
      </c>
      <c r="O17" s="71">
        <v>2</v>
      </c>
      <c r="P17" s="71">
        <v>2</v>
      </c>
      <c r="Q17" s="71">
        <v>2</v>
      </c>
      <c r="R17" s="71">
        <v>2</v>
      </c>
      <c r="S17" s="71">
        <v>2</v>
      </c>
      <c r="T17" s="71">
        <v>2</v>
      </c>
      <c r="U17" s="71">
        <v>2</v>
      </c>
      <c r="V17" s="71">
        <v>2</v>
      </c>
      <c r="W17" s="71">
        <v>2</v>
      </c>
      <c r="X17" s="90">
        <v>2</v>
      </c>
      <c r="Y17" s="91"/>
      <c r="Z17" s="72"/>
      <c r="AA17" s="72"/>
      <c r="AB17" s="72"/>
      <c r="AC17" s="72"/>
      <c r="AD17" s="72"/>
      <c r="AE17" s="76"/>
    </row>
    <row r="18" spans="1:44" ht="19.5" thickBot="1">
      <c r="A18" s="98"/>
      <c r="B18" s="89"/>
      <c r="C18" s="79"/>
      <c r="D18" s="80"/>
      <c r="E18" s="80"/>
      <c r="F18" s="81">
        <f t="shared" ref="F18" si="3">SUM(G18:X18)</f>
        <v>0</v>
      </c>
      <c r="G18" s="79"/>
      <c r="H18" s="80"/>
      <c r="I18" s="80"/>
      <c r="J18" s="79"/>
      <c r="K18" s="79"/>
      <c r="L18" s="80"/>
      <c r="M18" s="80"/>
      <c r="N18" s="80"/>
      <c r="O18" s="80"/>
      <c r="P18" s="80"/>
      <c r="Q18" s="86"/>
      <c r="R18" s="86"/>
      <c r="S18" s="87"/>
      <c r="T18" s="87"/>
      <c r="U18" s="87"/>
      <c r="V18" s="87"/>
      <c r="W18" s="87"/>
      <c r="X18" s="92"/>
      <c r="Y18" s="86"/>
      <c r="Z18" s="87"/>
      <c r="AA18" s="87"/>
      <c r="AB18" s="87"/>
      <c r="AC18" s="87"/>
      <c r="AD18" s="87"/>
      <c r="AE18" s="81">
        <v>9</v>
      </c>
    </row>
    <row r="19" spans="1:44" s="4" customFormat="1" ht="19.5" thickBot="1">
      <c r="A19" s="185" t="s">
        <v>25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7"/>
      <c r="AM19" s="12"/>
      <c r="AN19" s="96"/>
      <c r="AO19" s="184"/>
      <c r="AP19" s="184"/>
      <c r="AQ19" s="11"/>
      <c r="AR19" s="11"/>
    </row>
    <row r="20" spans="1:44" s="4" customFormat="1" ht="37.5">
      <c r="A20" s="82">
        <v>27</v>
      </c>
      <c r="B20" s="83" t="s">
        <v>23</v>
      </c>
      <c r="C20" s="64">
        <f>SUM(D20:F22)</f>
        <v>36</v>
      </c>
      <c r="D20" s="65">
        <f>SUM(G20:AD20)</f>
        <v>18</v>
      </c>
      <c r="E20" s="65"/>
      <c r="F20" s="66"/>
      <c r="G20" s="64">
        <v>2</v>
      </c>
      <c r="H20" s="65"/>
      <c r="I20" s="65">
        <v>2</v>
      </c>
      <c r="J20" s="64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6"/>
      <c r="Y20" s="64"/>
      <c r="Z20" s="65"/>
      <c r="AA20" s="65"/>
      <c r="AB20" s="65"/>
      <c r="AC20" s="65"/>
      <c r="AD20" s="65"/>
      <c r="AE20" s="66" t="s">
        <v>24</v>
      </c>
      <c r="AM20" s="11"/>
      <c r="AN20" s="11"/>
      <c r="AO20" s="11"/>
      <c r="AP20" s="11"/>
      <c r="AQ20" s="11"/>
      <c r="AR20" s="11"/>
    </row>
    <row r="21" spans="1:44" s="4" customFormat="1">
      <c r="A21" s="84"/>
      <c r="B21" s="85"/>
      <c r="C21" s="71"/>
      <c r="D21" s="72"/>
      <c r="E21" s="72">
        <f>SUM(G21:AD21)</f>
        <v>10</v>
      </c>
      <c r="F21" s="73"/>
      <c r="G21" s="71"/>
      <c r="H21" s="72">
        <v>2</v>
      </c>
      <c r="I21" s="72"/>
      <c r="J21" s="71">
        <v>2</v>
      </c>
      <c r="K21" s="74"/>
      <c r="L21" s="75">
        <v>2</v>
      </c>
      <c r="M21" s="75"/>
      <c r="N21" s="75">
        <v>2</v>
      </c>
      <c r="O21" s="75"/>
      <c r="P21" s="75">
        <v>2</v>
      </c>
      <c r="Q21" s="71"/>
      <c r="R21" s="71"/>
      <c r="S21" s="72"/>
      <c r="T21" s="72"/>
      <c r="U21" s="72"/>
      <c r="V21" s="72"/>
      <c r="W21" s="72"/>
      <c r="X21" s="73"/>
      <c r="Y21" s="71"/>
      <c r="Z21" s="72"/>
      <c r="AA21" s="72"/>
      <c r="AB21" s="72"/>
      <c r="AC21" s="72"/>
      <c r="AD21" s="72"/>
      <c r="AE21" s="76"/>
      <c r="AM21" s="12"/>
      <c r="AN21" s="96"/>
      <c r="AO21" s="184"/>
      <c r="AP21" s="184"/>
      <c r="AQ21" s="11"/>
      <c r="AR21" s="11"/>
    </row>
    <row r="22" spans="1:44" s="4" customFormat="1" ht="19.5" thickBot="1">
      <c r="A22" s="88"/>
      <c r="B22" s="89"/>
      <c r="C22" s="79"/>
      <c r="D22" s="80"/>
      <c r="E22" s="80"/>
      <c r="F22" s="81">
        <f>SUM(G22:X22)</f>
        <v>8</v>
      </c>
      <c r="G22" s="101"/>
      <c r="H22" s="87"/>
      <c r="I22" s="87"/>
      <c r="J22" s="86"/>
      <c r="K22" s="86"/>
      <c r="L22" s="87"/>
      <c r="M22" s="87"/>
      <c r="N22" s="87"/>
      <c r="O22" s="87"/>
      <c r="P22" s="87"/>
      <c r="Q22" s="86"/>
      <c r="R22" s="86">
        <v>2</v>
      </c>
      <c r="S22" s="87"/>
      <c r="T22" s="87">
        <v>2</v>
      </c>
      <c r="U22" s="87"/>
      <c r="V22" s="87">
        <v>2</v>
      </c>
      <c r="W22" s="87"/>
      <c r="X22" s="92">
        <v>2</v>
      </c>
      <c r="Y22" s="86"/>
      <c r="Z22" s="87"/>
      <c r="AA22" s="87"/>
      <c r="AB22" s="87"/>
      <c r="AC22" s="87"/>
      <c r="AD22" s="87"/>
      <c r="AE22" s="81">
        <v>36</v>
      </c>
      <c r="AM22" s="12"/>
      <c r="AN22" s="96"/>
      <c r="AO22" s="184"/>
      <c r="AP22" s="184"/>
      <c r="AQ22" s="11"/>
      <c r="AR22" s="11"/>
    </row>
    <row r="23" spans="1:44" ht="42" customHeight="1" thickBot="1">
      <c r="A23" s="197" t="s">
        <v>26</v>
      </c>
      <c r="B23" s="197"/>
      <c r="C23" s="197"/>
      <c r="D23" s="197"/>
      <c r="E23" s="197"/>
      <c r="F23" s="197"/>
      <c r="G23" s="197"/>
      <c r="H23" s="197"/>
      <c r="I23" s="197"/>
      <c r="J23" s="197"/>
      <c r="K23" s="197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</row>
    <row r="24" spans="1:44" s="4" customFormat="1" ht="22.5" customHeight="1" thickBot="1">
      <c r="A24" s="189" t="s">
        <v>78</v>
      </c>
      <c r="B24" s="189"/>
      <c r="C24" s="189"/>
      <c r="D24" s="189"/>
      <c r="E24" s="189"/>
      <c r="F24" s="18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79"/>
      <c r="X24" s="179"/>
      <c r="Y24" s="179"/>
      <c r="Z24" s="189"/>
      <c r="AA24" s="189"/>
      <c r="AB24" s="189"/>
      <c r="AC24" s="189"/>
      <c r="AD24" s="189"/>
      <c r="AE24" s="189"/>
    </row>
    <row r="25" spans="1:44" s="4" customFormat="1" ht="46.9" customHeight="1">
      <c r="A25" s="118">
        <v>27</v>
      </c>
      <c r="B25" s="119" t="s">
        <v>20</v>
      </c>
      <c r="C25" s="116">
        <f t="shared" ref="C25" si="4">SUM(D25:F26)</f>
        <v>34</v>
      </c>
      <c r="D25" s="111">
        <f t="shared" ref="D25" si="5">SUM(Z25:AD25)</f>
        <v>12</v>
      </c>
      <c r="E25" s="111"/>
      <c r="F25" s="113"/>
      <c r="G25" s="142"/>
      <c r="H25" s="143"/>
      <c r="I25" s="143"/>
      <c r="J25" s="144"/>
      <c r="K25" s="116"/>
      <c r="L25" s="113"/>
      <c r="M25" s="175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7"/>
      <c r="Z25" s="122">
        <v>4</v>
      </c>
      <c r="AA25" s="123"/>
      <c r="AB25" s="123">
        <v>4</v>
      </c>
      <c r="AC25" s="123"/>
      <c r="AD25" s="124">
        <v>4</v>
      </c>
      <c r="AE25" s="113" t="s">
        <v>21</v>
      </c>
      <c r="AM25" s="11"/>
      <c r="AN25" s="11"/>
      <c r="AO25" s="11"/>
      <c r="AP25" s="11"/>
      <c r="AQ25" s="11"/>
      <c r="AR25" s="11"/>
    </row>
    <row r="26" spans="1:44" s="4" customFormat="1">
      <c r="A26" s="125"/>
      <c r="B26" s="126"/>
      <c r="C26" s="103"/>
      <c r="D26" s="104"/>
      <c r="E26" s="104">
        <f t="shared" ref="E26" si="6">SUM(Z26:AD26)</f>
        <v>22</v>
      </c>
      <c r="F26" s="105"/>
      <c r="G26" s="127"/>
      <c r="H26" s="120"/>
      <c r="I26" s="120"/>
      <c r="J26" s="121"/>
      <c r="K26" s="117"/>
      <c r="L26" s="128"/>
      <c r="M26" s="178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80"/>
      <c r="Z26" s="129">
        <v>4</v>
      </c>
      <c r="AA26" s="130">
        <v>6</v>
      </c>
      <c r="AB26" s="130">
        <v>4</v>
      </c>
      <c r="AC26" s="130">
        <v>6</v>
      </c>
      <c r="AD26" s="131">
        <v>2</v>
      </c>
      <c r="AE26" s="132"/>
      <c r="AM26" s="12"/>
      <c r="AN26" s="96"/>
      <c r="AO26" s="184"/>
      <c r="AP26" s="184"/>
      <c r="AQ26" s="11"/>
      <c r="AR26" s="11"/>
    </row>
    <row r="27" spans="1:44" s="4" customFormat="1" ht="19.5" thickBot="1">
      <c r="A27" s="133"/>
      <c r="B27" s="134"/>
      <c r="C27" s="106"/>
      <c r="D27" s="107"/>
      <c r="E27" s="107"/>
      <c r="F27" s="115">
        <f t="shared" ref="F27" si="7">SUM(Z27:AD27)</f>
        <v>2</v>
      </c>
      <c r="G27" s="135"/>
      <c r="H27" s="136"/>
      <c r="I27" s="136"/>
      <c r="J27" s="137"/>
      <c r="K27" s="108"/>
      <c r="L27" s="138"/>
      <c r="M27" s="181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3"/>
      <c r="Z27" s="139"/>
      <c r="AA27" s="140"/>
      <c r="AB27" s="140"/>
      <c r="AC27" s="140"/>
      <c r="AD27" s="141">
        <v>2</v>
      </c>
      <c r="AE27" s="115">
        <v>9</v>
      </c>
      <c r="AM27" s="12"/>
      <c r="AN27" s="96"/>
      <c r="AO27" s="184"/>
      <c r="AP27" s="184"/>
      <c r="AQ27" s="11"/>
      <c r="AR27" s="11"/>
    </row>
    <row r="28" spans="1:44" ht="19.5" thickBot="1">
      <c r="A28" s="185" t="s">
        <v>28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7"/>
    </row>
    <row r="29" spans="1:44" s="4" customFormat="1" ht="37.5">
      <c r="A29" s="82">
        <v>27</v>
      </c>
      <c r="B29" s="83" t="s">
        <v>20</v>
      </c>
      <c r="C29" s="64">
        <f t="shared" ref="C29" si="8">SUM(D29:F31)</f>
        <v>54</v>
      </c>
      <c r="D29" s="65">
        <f t="shared" ref="D29" si="9">SUM(G29:X29)</f>
        <v>18</v>
      </c>
      <c r="E29" s="65"/>
      <c r="F29" s="66"/>
      <c r="G29" s="67">
        <v>2</v>
      </c>
      <c r="H29" s="68"/>
      <c r="I29" s="68">
        <v>2</v>
      </c>
      <c r="J29" s="67"/>
      <c r="K29" s="64">
        <v>2</v>
      </c>
      <c r="L29" s="65"/>
      <c r="M29" s="65">
        <v>2</v>
      </c>
      <c r="N29" s="65"/>
      <c r="O29" s="65">
        <v>2</v>
      </c>
      <c r="P29" s="65"/>
      <c r="Q29" s="64">
        <v>2</v>
      </c>
      <c r="R29" s="64"/>
      <c r="S29" s="65">
        <v>2</v>
      </c>
      <c r="T29" s="65"/>
      <c r="U29" s="65">
        <v>2</v>
      </c>
      <c r="V29" s="65"/>
      <c r="W29" s="65">
        <v>2</v>
      </c>
      <c r="X29" s="66"/>
      <c r="Y29" s="64"/>
      <c r="Z29" s="65"/>
      <c r="AA29" s="65"/>
      <c r="AB29" s="65"/>
      <c r="AC29" s="65"/>
      <c r="AD29" s="65"/>
      <c r="AE29" s="66" t="s">
        <v>27</v>
      </c>
      <c r="AM29" s="11"/>
      <c r="AN29" s="11"/>
      <c r="AO29" s="11"/>
      <c r="AP29" s="11"/>
      <c r="AQ29" s="11"/>
      <c r="AR29" s="11"/>
    </row>
    <row r="30" spans="1:44" s="4" customFormat="1">
      <c r="A30" s="84"/>
      <c r="B30" s="85"/>
      <c r="C30" s="71"/>
      <c r="D30" s="72"/>
      <c r="E30" s="72">
        <f t="shared" ref="E30" si="10">SUM(G30:X30)</f>
        <v>36</v>
      </c>
      <c r="F30" s="73"/>
      <c r="G30" s="71"/>
      <c r="H30" s="71">
        <v>4</v>
      </c>
      <c r="I30" s="71"/>
      <c r="J30" s="71">
        <v>4</v>
      </c>
      <c r="K30" s="71"/>
      <c r="L30" s="71">
        <v>4</v>
      </c>
      <c r="M30" s="71"/>
      <c r="N30" s="71">
        <v>4</v>
      </c>
      <c r="O30" s="71"/>
      <c r="P30" s="71">
        <v>4</v>
      </c>
      <c r="Q30" s="71"/>
      <c r="R30" s="71">
        <v>4</v>
      </c>
      <c r="S30" s="71"/>
      <c r="T30" s="71">
        <v>4</v>
      </c>
      <c r="U30" s="71"/>
      <c r="V30" s="71">
        <v>4</v>
      </c>
      <c r="W30" s="71"/>
      <c r="X30" s="90">
        <v>4</v>
      </c>
      <c r="Y30" s="91"/>
      <c r="Z30" s="72"/>
      <c r="AA30" s="72"/>
      <c r="AB30" s="72"/>
      <c r="AC30" s="72"/>
      <c r="AD30" s="72"/>
      <c r="AE30" s="76"/>
      <c r="AM30" s="12"/>
      <c r="AN30" s="96"/>
      <c r="AO30" s="184"/>
      <c r="AP30" s="184"/>
      <c r="AQ30" s="11"/>
      <c r="AR30" s="11"/>
    </row>
    <row r="31" spans="1:44" s="4" customFormat="1" ht="19.5" thickBot="1">
      <c r="A31" s="98"/>
      <c r="B31" s="89"/>
      <c r="C31" s="79"/>
      <c r="D31" s="80"/>
      <c r="E31" s="80"/>
      <c r="F31" s="81">
        <f t="shared" ref="F31" si="11">SUM(G31:X31)</f>
        <v>0</v>
      </c>
      <c r="G31" s="79"/>
      <c r="H31" s="80"/>
      <c r="I31" s="80"/>
      <c r="J31" s="79"/>
      <c r="K31" s="79"/>
      <c r="L31" s="80"/>
      <c r="M31" s="80"/>
      <c r="N31" s="80"/>
      <c r="O31" s="80"/>
      <c r="P31" s="80"/>
      <c r="Q31" s="79"/>
      <c r="R31" s="79"/>
      <c r="S31" s="80"/>
      <c r="T31" s="80"/>
      <c r="U31" s="80"/>
      <c r="V31" s="80"/>
      <c r="W31" s="80"/>
      <c r="X31" s="92"/>
      <c r="Y31" s="86"/>
      <c r="Z31" s="87"/>
      <c r="AA31" s="87"/>
      <c r="AB31" s="87"/>
      <c r="AC31" s="87"/>
      <c r="AD31" s="87"/>
      <c r="AE31" s="81">
        <v>36</v>
      </c>
      <c r="AM31" s="12"/>
      <c r="AN31" s="96"/>
      <c r="AO31" s="184"/>
      <c r="AP31" s="184"/>
      <c r="AQ31" s="11"/>
      <c r="AR31" s="11"/>
    </row>
    <row r="32" spans="1:44" s="4" customFormat="1" ht="19.5" thickBot="1">
      <c r="A32" s="185" t="s">
        <v>29</v>
      </c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7"/>
      <c r="AM32" s="11"/>
      <c r="AN32" s="11"/>
      <c r="AO32" s="11"/>
      <c r="AP32" s="11"/>
      <c r="AQ32" s="11"/>
      <c r="AR32" s="11"/>
    </row>
    <row r="33" spans="1:44" ht="37.5">
      <c r="A33" s="82">
        <v>27</v>
      </c>
      <c r="B33" s="83" t="s">
        <v>20</v>
      </c>
      <c r="C33" s="64">
        <f t="shared" ref="C33" si="12">SUM(D33:F35)</f>
        <v>36</v>
      </c>
      <c r="D33" s="65">
        <f t="shared" ref="D33" si="13">SUM(G33:X33)</f>
        <v>18</v>
      </c>
      <c r="E33" s="65"/>
      <c r="F33" s="66"/>
      <c r="G33" s="64">
        <v>2</v>
      </c>
      <c r="H33" s="65"/>
      <c r="I33" s="65">
        <v>2</v>
      </c>
      <c r="J33" s="65"/>
      <c r="K33" s="64">
        <v>2</v>
      </c>
      <c r="L33" s="65"/>
      <c r="M33" s="65">
        <v>2</v>
      </c>
      <c r="N33" s="65"/>
      <c r="O33" s="65">
        <v>2</v>
      </c>
      <c r="P33" s="65"/>
      <c r="Q33" s="64">
        <v>2</v>
      </c>
      <c r="R33" s="64"/>
      <c r="S33" s="65">
        <v>2</v>
      </c>
      <c r="T33" s="65"/>
      <c r="U33" s="65">
        <v>2</v>
      </c>
      <c r="V33" s="65"/>
      <c r="W33" s="65">
        <v>2</v>
      </c>
      <c r="X33" s="66"/>
      <c r="Y33" s="64"/>
      <c r="Z33" s="65"/>
      <c r="AA33" s="65"/>
      <c r="AB33" s="65"/>
      <c r="AC33" s="65"/>
      <c r="AD33" s="65"/>
      <c r="AE33" s="66" t="s">
        <v>24</v>
      </c>
    </row>
    <row r="34" spans="1:44">
      <c r="A34" s="84"/>
      <c r="B34" s="85"/>
      <c r="C34" s="71"/>
      <c r="D34" s="72"/>
      <c r="E34" s="72">
        <f t="shared" ref="E34" si="14">SUM(G34:X34)</f>
        <v>16</v>
      </c>
      <c r="F34" s="73"/>
      <c r="G34" s="71"/>
      <c r="H34" s="72">
        <v>2</v>
      </c>
      <c r="I34" s="72"/>
      <c r="J34" s="72">
        <v>2</v>
      </c>
      <c r="K34" s="74"/>
      <c r="L34" s="75">
        <v>2</v>
      </c>
      <c r="M34" s="75"/>
      <c r="N34" s="75">
        <v>2</v>
      </c>
      <c r="O34" s="75"/>
      <c r="P34" s="75">
        <v>2</v>
      </c>
      <c r="Q34" s="75"/>
      <c r="R34" s="75">
        <v>2</v>
      </c>
      <c r="S34" s="75"/>
      <c r="T34" s="75">
        <v>2</v>
      </c>
      <c r="U34" s="75"/>
      <c r="V34" s="75">
        <v>2</v>
      </c>
      <c r="W34" s="75"/>
      <c r="X34" s="73"/>
      <c r="Y34" s="71"/>
      <c r="Z34" s="72"/>
      <c r="AA34" s="72"/>
      <c r="AB34" s="72"/>
      <c r="AC34" s="72"/>
      <c r="AD34" s="72"/>
      <c r="AE34" s="76"/>
    </row>
    <row r="35" spans="1:44" ht="19.5" thickBot="1">
      <c r="A35" s="98"/>
      <c r="B35" s="89"/>
      <c r="C35" s="79"/>
      <c r="D35" s="80"/>
      <c r="E35" s="80"/>
      <c r="F35" s="81">
        <f t="shared" ref="F35" si="15">SUM(G35:X35)</f>
        <v>2</v>
      </c>
      <c r="G35" s="79"/>
      <c r="H35" s="80"/>
      <c r="I35" s="80"/>
      <c r="J35" s="80"/>
      <c r="K35" s="79"/>
      <c r="L35" s="80"/>
      <c r="M35" s="80"/>
      <c r="N35" s="80"/>
      <c r="O35" s="80"/>
      <c r="P35" s="80"/>
      <c r="Q35" s="79"/>
      <c r="R35" s="79"/>
      <c r="S35" s="80"/>
      <c r="T35" s="80"/>
      <c r="U35" s="80"/>
      <c r="V35" s="80"/>
      <c r="W35" s="80"/>
      <c r="X35" s="81">
        <v>2</v>
      </c>
      <c r="Y35" s="86"/>
      <c r="Z35" s="87"/>
      <c r="AA35" s="87"/>
      <c r="AB35" s="87"/>
      <c r="AC35" s="87"/>
      <c r="AD35" s="87"/>
      <c r="AE35" s="81">
        <v>36</v>
      </c>
    </row>
    <row r="36" spans="1:44" s="4" customFormat="1" ht="19.5" thickBot="1">
      <c r="A36" s="185" t="s">
        <v>33</v>
      </c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7"/>
      <c r="AM36" s="11"/>
      <c r="AN36" s="11"/>
      <c r="AO36" s="11"/>
      <c r="AP36" s="11"/>
      <c r="AQ36" s="11"/>
      <c r="AR36" s="11"/>
    </row>
    <row r="37" spans="1:44" s="4" customFormat="1" ht="37.5">
      <c r="A37" s="82">
        <v>27</v>
      </c>
      <c r="B37" s="83" t="s">
        <v>30</v>
      </c>
      <c r="C37" s="64">
        <f t="shared" ref="C37" si="16">SUM(D37:F39)</f>
        <v>72</v>
      </c>
      <c r="D37" s="65">
        <f t="shared" ref="D37" si="17">SUM(G37:X37)</f>
        <v>36</v>
      </c>
      <c r="E37" s="65"/>
      <c r="F37" s="66"/>
      <c r="G37" s="67">
        <v>2</v>
      </c>
      <c r="H37" s="67">
        <v>2</v>
      </c>
      <c r="I37" s="67">
        <v>2</v>
      </c>
      <c r="J37" s="67">
        <v>2</v>
      </c>
      <c r="K37" s="67">
        <v>2</v>
      </c>
      <c r="L37" s="67">
        <v>2</v>
      </c>
      <c r="M37" s="67">
        <v>2</v>
      </c>
      <c r="N37" s="67">
        <v>2</v>
      </c>
      <c r="O37" s="67">
        <v>2</v>
      </c>
      <c r="P37" s="67">
        <v>2</v>
      </c>
      <c r="Q37" s="67">
        <v>2</v>
      </c>
      <c r="R37" s="67">
        <v>2</v>
      </c>
      <c r="S37" s="67">
        <v>2</v>
      </c>
      <c r="T37" s="67">
        <v>2</v>
      </c>
      <c r="U37" s="67">
        <v>2</v>
      </c>
      <c r="V37" s="67">
        <v>2</v>
      </c>
      <c r="W37" s="67">
        <v>2</v>
      </c>
      <c r="X37" s="66">
        <v>2</v>
      </c>
      <c r="Y37" s="64"/>
      <c r="Z37" s="65"/>
      <c r="AA37" s="65"/>
      <c r="AB37" s="65"/>
      <c r="AC37" s="65"/>
      <c r="AD37" s="65"/>
      <c r="AE37" s="66" t="s">
        <v>24</v>
      </c>
      <c r="AM37" s="11"/>
      <c r="AN37" s="11"/>
      <c r="AO37" s="11"/>
      <c r="AP37" s="11"/>
      <c r="AQ37" s="11"/>
      <c r="AR37" s="11"/>
    </row>
    <row r="38" spans="1:44" s="4" customFormat="1">
      <c r="A38" s="84"/>
      <c r="B38" s="85"/>
      <c r="C38" s="71"/>
      <c r="D38" s="72"/>
      <c r="E38" s="72">
        <f t="shared" ref="E38" si="18">SUM(G38:X38)</f>
        <v>36</v>
      </c>
      <c r="F38" s="73"/>
      <c r="G38" s="71">
        <v>2</v>
      </c>
      <c r="H38" s="71">
        <v>2</v>
      </c>
      <c r="I38" s="71">
        <v>2</v>
      </c>
      <c r="J38" s="71">
        <v>2</v>
      </c>
      <c r="K38" s="71">
        <v>2</v>
      </c>
      <c r="L38" s="71">
        <v>2</v>
      </c>
      <c r="M38" s="71">
        <v>2</v>
      </c>
      <c r="N38" s="71">
        <v>2</v>
      </c>
      <c r="O38" s="71">
        <v>2</v>
      </c>
      <c r="P38" s="71">
        <v>2</v>
      </c>
      <c r="Q38" s="71">
        <v>2</v>
      </c>
      <c r="R38" s="71">
        <v>2</v>
      </c>
      <c r="S38" s="71">
        <v>2</v>
      </c>
      <c r="T38" s="71">
        <v>2</v>
      </c>
      <c r="U38" s="71">
        <v>2</v>
      </c>
      <c r="V38" s="71">
        <v>2</v>
      </c>
      <c r="W38" s="71">
        <v>2</v>
      </c>
      <c r="X38" s="90">
        <v>2</v>
      </c>
      <c r="Y38" s="91"/>
      <c r="Z38" s="72"/>
      <c r="AA38" s="72"/>
      <c r="AB38" s="72"/>
      <c r="AC38" s="72"/>
      <c r="AD38" s="72"/>
      <c r="AE38" s="76"/>
      <c r="AM38" s="12"/>
      <c r="AN38" s="96"/>
      <c r="AO38" s="184"/>
      <c r="AP38" s="184"/>
      <c r="AQ38" s="11"/>
      <c r="AR38" s="11"/>
    </row>
    <row r="39" spans="1:44" s="4" customFormat="1" ht="19.5" thickBot="1">
      <c r="A39" s="88"/>
      <c r="B39" s="89"/>
      <c r="C39" s="79"/>
      <c r="D39" s="80"/>
      <c r="E39" s="80"/>
      <c r="F39" s="81">
        <f t="shared" ref="F39" si="19">SUM(G39:X39)</f>
        <v>0</v>
      </c>
      <c r="G39" s="79"/>
      <c r="H39" s="80"/>
      <c r="I39" s="80"/>
      <c r="J39" s="79"/>
      <c r="K39" s="79"/>
      <c r="L39" s="80"/>
      <c r="M39" s="80"/>
      <c r="N39" s="80"/>
      <c r="O39" s="80"/>
      <c r="P39" s="80"/>
      <c r="Q39" s="79"/>
      <c r="R39" s="79"/>
      <c r="S39" s="80"/>
      <c r="T39" s="80"/>
      <c r="U39" s="80"/>
      <c r="V39" s="80"/>
      <c r="W39" s="80"/>
      <c r="X39" s="92"/>
      <c r="Y39" s="86"/>
      <c r="Z39" s="87"/>
      <c r="AA39" s="87"/>
      <c r="AB39" s="87"/>
      <c r="AC39" s="87"/>
      <c r="AD39" s="87"/>
      <c r="AE39" s="81">
        <v>36</v>
      </c>
      <c r="AM39" s="12"/>
      <c r="AN39" s="96"/>
      <c r="AO39" s="184"/>
      <c r="AP39" s="184"/>
      <c r="AQ39" s="11"/>
      <c r="AR39" s="11"/>
    </row>
    <row r="40" spans="1:44" s="4" customFormat="1" ht="37.5">
      <c r="A40" s="82">
        <v>27</v>
      </c>
      <c r="B40" s="83" t="s">
        <v>23</v>
      </c>
      <c r="C40" s="64">
        <f t="shared" ref="C40" si="20">SUM(D40:F42)</f>
        <v>54</v>
      </c>
      <c r="D40" s="65">
        <f t="shared" ref="D40" si="21">SUM(G40:X40)</f>
        <v>18</v>
      </c>
      <c r="E40" s="65"/>
      <c r="F40" s="66"/>
      <c r="G40" s="67">
        <v>2</v>
      </c>
      <c r="H40" s="68"/>
      <c r="I40" s="68">
        <v>2</v>
      </c>
      <c r="J40" s="67"/>
      <c r="K40" s="64">
        <v>2</v>
      </c>
      <c r="L40" s="65"/>
      <c r="M40" s="65">
        <v>2</v>
      </c>
      <c r="N40" s="65"/>
      <c r="O40" s="65">
        <v>2</v>
      </c>
      <c r="P40" s="65"/>
      <c r="Q40" s="64">
        <v>2</v>
      </c>
      <c r="R40" s="64"/>
      <c r="S40" s="65">
        <v>2</v>
      </c>
      <c r="T40" s="65"/>
      <c r="U40" s="65">
        <v>2</v>
      </c>
      <c r="V40" s="65"/>
      <c r="W40" s="65">
        <v>2</v>
      </c>
      <c r="X40" s="66"/>
      <c r="Y40" s="64"/>
      <c r="Z40" s="65"/>
      <c r="AA40" s="65"/>
      <c r="AB40" s="65"/>
      <c r="AC40" s="65"/>
      <c r="AD40" s="65"/>
      <c r="AE40" s="66" t="s">
        <v>24</v>
      </c>
      <c r="AM40" s="11"/>
      <c r="AN40" s="11"/>
      <c r="AO40" s="11"/>
      <c r="AP40" s="11"/>
      <c r="AQ40" s="11"/>
      <c r="AR40" s="11"/>
    </row>
    <row r="41" spans="1:44" s="4" customFormat="1">
      <c r="A41" s="84"/>
      <c r="B41" s="85"/>
      <c r="C41" s="71"/>
      <c r="D41" s="72"/>
      <c r="E41" s="72">
        <f t="shared" ref="E41" si="22">SUM(G41:X41)</f>
        <v>30</v>
      </c>
      <c r="F41" s="73"/>
      <c r="G41" s="71">
        <v>2</v>
      </c>
      <c r="H41" s="71">
        <v>2</v>
      </c>
      <c r="I41" s="71">
        <v>2</v>
      </c>
      <c r="J41" s="71">
        <v>2</v>
      </c>
      <c r="K41" s="71">
        <v>2</v>
      </c>
      <c r="L41" s="71">
        <v>2</v>
      </c>
      <c r="M41" s="71">
        <v>2</v>
      </c>
      <c r="N41" s="71">
        <v>2</v>
      </c>
      <c r="O41" s="71">
        <v>2</v>
      </c>
      <c r="P41" s="71">
        <v>2</v>
      </c>
      <c r="Q41" s="71">
        <v>2</v>
      </c>
      <c r="R41" s="71">
        <v>2</v>
      </c>
      <c r="S41" s="71">
        <v>2</v>
      </c>
      <c r="T41" s="71">
        <v>2</v>
      </c>
      <c r="U41" s="71">
        <v>2</v>
      </c>
      <c r="V41" s="72"/>
      <c r="W41" s="72"/>
      <c r="X41" s="73"/>
      <c r="Y41" s="71"/>
      <c r="Z41" s="72"/>
      <c r="AA41" s="72"/>
      <c r="AB41" s="72"/>
      <c r="AC41" s="72"/>
      <c r="AD41" s="72"/>
      <c r="AE41" s="76"/>
      <c r="AM41" s="12"/>
      <c r="AN41" s="96"/>
      <c r="AO41" s="184"/>
      <c r="AP41" s="184"/>
      <c r="AQ41" s="11"/>
      <c r="AR41" s="11"/>
    </row>
    <row r="42" spans="1:44" s="4" customFormat="1" ht="19.5" thickBot="1">
      <c r="A42" s="88"/>
      <c r="B42" s="89"/>
      <c r="C42" s="79"/>
      <c r="D42" s="80"/>
      <c r="E42" s="80"/>
      <c r="F42" s="81">
        <f t="shared" ref="F42" si="23">SUM(G42:X42)</f>
        <v>6</v>
      </c>
      <c r="G42" s="79"/>
      <c r="H42" s="80"/>
      <c r="I42" s="80"/>
      <c r="J42" s="79"/>
      <c r="K42" s="79"/>
      <c r="L42" s="80"/>
      <c r="M42" s="80"/>
      <c r="N42" s="80"/>
      <c r="O42" s="80"/>
      <c r="P42" s="80"/>
      <c r="Q42" s="86"/>
      <c r="R42" s="86"/>
      <c r="S42" s="87"/>
      <c r="T42" s="87"/>
      <c r="U42" s="87"/>
      <c r="V42" s="87">
        <v>2</v>
      </c>
      <c r="W42" s="87">
        <v>2</v>
      </c>
      <c r="X42" s="92">
        <v>2</v>
      </c>
      <c r="Y42" s="86"/>
      <c r="Z42" s="87"/>
      <c r="AA42" s="87"/>
      <c r="AB42" s="87"/>
      <c r="AC42" s="87"/>
      <c r="AD42" s="87"/>
      <c r="AE42" s="81">
        <v>36</v>
      </c>
      <c r="AM42" s="12"/>
      <c r="AN42" s="96"/>
      <c r="AO42" s="184"/>
      <c r="AP42" s="184"/>
      <c r="AQ42" s="11"/>
      <c r="AR42" s="11"/>
    </row>
    <row r="43" spans="1:44" s="4" customFormat="1" ht="56.25">
      <c r="A43" s="82">
        <v>27</v>
      </c>
      <c r="B43" s="83" t="s">
        <v>31</v>
      </c>
      <c r="C43" s="64">
        <f t="shared" ref="C43" si="24">SUM(D43:F45)</f>
        <v>18</v>
      </c>
      <c r="D43" s="65">
        <f t="shared" ref="D43" si="25">SUM(G43:X43)</f>
        <v>0</v>
      </c>
      <c r="E43" s="65"/>
      <c r="F43" s="66"/>
      <c r="G43" s="67"/>
      <c r="H43" s="68"/>
      <c r="I43" s="68"/>
      <c r="J43" s="67"/>
      <c r="K43" s="64"/>
      <c r="L43" s="65"/>
      <c r="M43" s="65"/>
      <c r="N43" s="65"/>
      <c r="O43" s="65"/>
      <c r="P43" s="65"/>
      <c r="Q43" s="64"/>
      <c r="R43" s="64"/>
      <c r="S43" s="65"/>
      <c r="T43" s="65"/>
      <c r="U43" s="65"/>
      <c r="V43" s="65"/>
      <c r="W43" s="65"/>
      <c r="X43" s="66"/>
      <c r="Y43" s="64"/>
      <c r="Z43" s="65"/>
      <c r="AA43" s="65"/>
      <c r="AB43" s="65"/>
      <c r="AC43" s="65"/>
      <c r="AD43" s="65"/>
      <c r="AE43" s="66" t="s">
        <v>21</v>
      </c>
      <c r="AM43" s="11"/>
      <c r="AN43" s="11"/>
      <c r="AO43" s="11"/>
      <c r="AP43" s="11"/>
      <c r="AQ43" s="11"/>
      <c r="AR43" s="11"/>
    </row>
    <row r="44" spans="1:44" s="4" customFormat="1" ht="19.5">
      <c r="A44" s="84"/>
      <c r="B44" s="99" t="s">
        <v>32</v>
      </c>
      <c r="C44" s="71"/>
      <c r="D44" s="72"/>
      <c r="E44" s="72">
        <f t="shared" ref="E44" si="26">SUM(G44:X44)</f>
        <v>18</v>
      </c>
      <c r="F44" s="73"/>
      <c r="G44" s="71"/>
      <c r="H44" s="72">
        <v>2</v>
      </c>
      <c r="I44" s="72"/>
      <c r="J44" s="71">
        <v>2</v>
      </c>
      <c r="K44" s="74"/>
      <c r="L44" s="75">
        <v>2</v>
      </c>
      <c r="M44" s="75"/>
      <c r="N44" s="75">
        <v>2</v>
      </c>
      <c r="O44" s="75"/>
      <c r="P44" s="75">
        <v>2</v>
      </c>
      <c r="Q44" s="71"/>
      <c r="R44" s="71">
        <v>2</v>
      </c>
      <c r="S44" s="72"/>
      <c r="T44" s="72">
        <v>2</v>
      </c>
      <c r="U44" s="72"/>
      <c r="V44" s="72">
        <v>2</v>
      </c>
      <c r="W44" s="72"/>
      <c r="X44" s="73">
        <v>2</v>
      </c>
      <c r="Y44" s="71"/>
      <c r="Z44" s="72"/>
      <c r="AA44" s="72"/>
      <c r="AB44" s="72"/>
      <c r="AC44" s="72"/>
      <c r="AD44" s="72"/>
      <c r="AE44" s="76"/>
      <c r="AM44" s="12"/>
      <c r="AN44" s="96"/>
      <c r="AO44" s="184"/>
      <c r="AP44" s="184"/>
      <c r="AQ44" s="11"/>
      <c r="AR44" s="11"/>
    </row>
    <row r="45" spans="1:44" s="4" customFormat="1" ht="19.5" thickBot="1">
      <c r="A45" s="98"/>
      <c r="B45" s="89"/>
      <c r="C45" s="79"/>
      <c r="D45" s="80"/>
      <c r="E45" s="80"/>
      <c r="F45" s="81">
        <f t="shared" ref="F45" si="27">SUM(G45:X45)</f>
        <v>0</v>
      </c>
      <c r="G45" s="79"/>
      <c r="H45" s="80"/>
      <c r="I45" s="80"/>
      <c r="J45" s="79"/>
      <c r="K45" s="79"/>
      <c r="L45" s="80"/>
      <c r="M45" s="80"/>
      <c r="N45" s="80"/>
      <c r="O45" s="80"/>
      <c r="P45" s="80"/>
      <c r="Q45" s="86"/>
      <c r="R45" s="86"/>
      <c r="S45" s="87"/>
      <c r="T45" s="87"/>
      <c r="U45" s="87"/>
      <c r="V45" s="87"/>
      <c r="W45" s="87"/>
      <c r="X45" s="92"/>
      <c r="Y45" s="86"/>
      <c r="Z45" s="87"/>
      <c r="AA45" s="87"/>
      <c r="AB45" s="87"/>
      <c r="AC45" s="87"/>
      <c r="AD45" s="87"/>
      <c r="AE45" s="81">
        <v>9</v>
      </c>
      <c r="AM45" s="12"/>
      <c r="AN45" s="96"/>
      <c r="AO45" s="184"/>
      <c r="AP45" s="184"/>
      <c r="AQ45" s="11"/>
      <c r="AR45" s="11"/>
    </row>
    <row r="46" spans="1:44" s="4" customFormat="1" ht="19.5" thickBot="1">
      <c r="A46" s="185" t="s">
        <v>39</v>
      </c>
      <c r="B46" s="186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7"/>
      <c r="AF46" s="224"/>
      <c r="AG46" s="225"/>
      <c r="AH46" s="225"/>
      <c r="AI46" s="225"/>
      <c r="AJ46" s="225"/>
      <c r="AK46" s="225"/>
      <c r="AM46" s="11"/>
      <c r="AN46" s="11"/>
      <c r="AO46" s="11"/>
      <c r="AP46" s="11"/>
      <c r="AQ46" s="11"/>
      <c r="AR46" s="11"/>
    </row>
    <row r="47" spans="1:44" s="4" customFormat="1" ht="37.5">
      <c r="A47" s="82">
        <v>27</v>
      </c>
      <c r="B47" s="83" t="s">
        <v>30</v>
      </c>
      <c r="C47" s="64">
        <f t="shared" ref="C47" si="28">SUM(D47:F49)</f>
        <v>72</v>
      </c>
      <c r="D47" s="65">
        <f t="shared" ref="D47" si="29">SUM(G47:X47)</f>
        <v>36</v>
      </c>
      <c r="E47" s="65"/>
      <c r="F47" s="66"/>
      <c r="G47" s="67">
        <v>2</v>
      </c>
      <c r="H47" s="67">
        <v>2</v>
      </c>
      <c r="I47" s="67">
        <v>2</v>
      </c>
      <c r="J47" s="67">
        <v>2</v>
      </c>
      <c r="K47" s="67">
        <v>2</v>
      </c>
      <c r="L47" s="67">
        <v>2</v>
      </c>
      <c r="M47" s="67">
        <v>2</v>
      </c>
      <c r="N47" s="67">
        <v>2</v>
      </c>
      <c r="O47" s="67">
        <v>2</v>
      </c>
      <c r="P47" s="67">
        <v>2</v>
      </c>
      <c r="Q47" s="67">
        <v>2</v>
      </c>
      <c r="R47" s="67">
        <v>2</v>
      </c>
      <c r="S47" s="67">
        <v>2</v>
      </c>
      <c r="T47" s="67">
        <v>2</v>
      </c>
      <c r="U47" s="67">
        <v>2</v>
      </c>
      <c r="V47" s="67">
        <v>2</v>
      </c>
      <c r="W47" s="67">
        <v>2</v>
      </c>
      <c r="X47" s="66">
        <v>2</v>
      </c>
      <c r="Y47" s="64"/>
      <c r="Z47" s="65"/>
      <c r="AA47" s="65"/>
      <c r="AB47" s="65"/>
      <c r="AC47" s="65"/>
      <c r="AD47" s="65"/>
      <c r="AE47" s="66" t="s">
        <v>34</v>
      </c>
      <c r="AM47" s="11"/>
      <c r="AN47" s="11"/>
      <c r="AO47" s="11"/>
      <c r="AP47" s="11"/>
      <c r="AQ47" s="11"/>
      <c r="AR47" s="11"/>
    </row>
    <row r="48" spans="1:44" s="4" customFormat="1">
      <c r="A48" s="84"/>
      <c r="B48" s="85"/>
      <c r="C48" s="71"/>
      <c r="D48" s="72"/>
      <c r="E48" s="72">
        <f t="shared" ref="E48" si="30">SUM(G48:X48)</f>
        <v>36</v>
      </c>
      <c r="F48" s="73"/>
      <c r="G48" s="71">
        <v>2</v>
      </c>
      <c r="H48" s="71">
        <v>2</v>
      </c>
      <c r="I48" s="71">
        <v>2</v>
      </c>
      <c r="J48" s="71">
        <v>2</v>
      </c>
      <c r="K48" s="71">
        <v>2</v>
      </c>
      <c r="L48" s="71">
        <v>2</v>
      </c>
      <c r="M48" s="71">
        <v>2</v>
      </c>
      <c r="N48" s="71">
        <v>2</v>
      </c>
      <c r="O48" s="71">
        <v>2</v>
      </c>
      <c r="P48" s="71">
        <v>2</v>
      </c>
      <c r="Q48" s="71">
        <v>2</v>
      </c>
      <c r="R48" s="71">
        <v>2</v>
      </c>
      <c r="S48" s="71">
        <v>2</v>
      </c>
      <c r="T48" s="71">
        <v>2</v>
      </c>
      <c r="U48" s="71">
        <v>2</v>
      </c>
      <c r="V48" s="71">
        <v>2</v>
      </c>
      <c r="W48" s="71">
        <v>2</v>
      </c>
      <c r="X48" s="90">
        <v>2</v>
      </c>
      <c r="Y48" s="91"/>
      <c r="Z48" s="72"/>
      <c r="AA48" s="72"/>
      <c r="AB48" s="72"/>
      <c r="AC48" s="72"/>
      <c r="AD48" s="72"/>
      <c r="AE48" s="76"/>
      <c r="AM48" s="12"/>
      <c r="AN48" s="96"/>
      <c r="AO48" s="184"/>
      <c r="AP48" s="184"/>
      <c r="AQ48" s="11"/>
      <c r="AR48" s="11"/>
    </row>
    <row r="49" spans="1:44" s="4" customFormat="1" ht="19.5" thickBot="1">
      <c r="A49" s="88"/>
      <c r="B49" s="89"/>
      <c r="C49" s="79"/>
      <c r="D49" s="80"/>
      <c r="E49" s="80"/>
      <c r="F49" s="81">
        <f t="shared" ref="F49" si="31">SUM(G49:X49)</f>
        <v>0</v>
      </c>
      <c r="G49" s="79"/>
      <c r="H49" s="80"/>
      <c r="I49" s="80"/>
      <c r="J49" s="79"/>
      <c r="K49" s="79"/>
      <c r="L49" s="80"/>
      <c r="M49" s="80"/>
      <c r="N49" s="80"/>
      <c r="O49" s="80"/>
      <c r="P49" s="80"/>
      <c r="Q49" s="79"/>
      <c r="R49" s="79"/>
      <c r="S49" s="80"/>
      <c r="T49" s="80"/>
      <c r="U49" s="80"/>
      <c r="V49" s="80"/>
      <c r="W49" s="80"/>
      <c r="X49" s="92"/>
      <c r="Y49" s="86"/>
      <c r="Z49" s="87"/>
      <c r="AA49" s="87"/>
      <c r="AB49" s="87"/>
      <c r="AC49" s="87"/>
      <c r="AD49" s="87"/>
      <c r="AE49" s="81">
        <v>18</v>
      </c>
      <c r="AM49" s="12"/>
      <c r="AN49" s="96"/>
      <c r="AO49" s="184"/>
      <c r="AP49" s="184"/>
      <c r="AQ49" s="11"/>
      <c r="AR49" s="11"/>
    </row>
    <row r="50" spans="1:44" s="4" customFormat="1" ht="37.5">
      <c r="A50" s="82">
        <v>27</v>
      </c>
      <c r="B50" s="83" t="s">
        <v>35</v>
      </c>
      <c r="C50" s="64">
        <f t="shared" ref="C50" si="32">SUM(D50:F52)</f>
        <v>72</v>
      </c>
      <c r="D50" s="65">
        <f t="shared" ref="D50" si="33">SUM(G50:X50)</f>
        <v>36</v>
      </c>
      <c r="E50" s="65"/>
      <c r="F50" s="66"/>
      <c r="G50" s="67">
        <v>2</v>
      </c>
      <c r="H50" s="67">
        <v>2</v>
      </c>
      <c r="I50" s="67">
        <v>2</v>
      </c>
      <c r="J50" s="67">
        <v>2</v>
      </c>
      <c r="K50" s="67">
        <v>2</v>
      </c>
      <c r="L50" s="67">
        <v>2</v>
      </c>
      <c r="M50" s="67">
        <v>2</v>
      </c>
      <c r="N50" s="67">
        <v>2</v>
      </c>
      <c r="O50" s="67">
        <v>2</v>
      </c>
      <c r="P50" s="67">
        <v>2</v>
      </c>
      <c r="Q50" s="67">
        <v>2</v>
      </c>
      <c r="R50" s="67">
        <v>2</v>
      </c>
      <c r="S50" s="67">
        <v>2</v>
      </c>
      <c r="T50" s="67">
        <v>2</v>
      </c>
      <c r="U50" s="67">
        <v>2</v>
      </c>
      <c r="V50" s="67">
        <v>2</v>
      </c>
      <c r="W50" s="67">
        <v>2</v>
      </c>
      <c r="X50" s="66">
        <v>2</v>
      </c>
      <c r="Y50" s="64"/>
      <c r="Z50" s="65"/>
      <c r="AA50" s="65"/>
      <c r="AB50" s="65"/>
      <c r="AC50" s="65"/>
      <c r="AD50" s="65"/>
      <c r="AE50" s="66" t="s">
        <v>24</v>
      </c>
      <c r="AM50" s="11"/>
      <c r="AN50" s="11"/>
      <c r="AO50" s="11"/>
      <c r="AP50" s="11"/>
      <c r="AQ50" s="11"/>
      <c r="AR50" s="11"/>
    </row>
    <row r="51" spans="1:44" s="4" customFormat="1">
      <c r="A51" s="84"/>
      <c r="B51" s="85"/>
      <c r="C51" s="71"/>
      <c r="D51" s="72"/>
      <c r="E51" s="72">
        <f t="shared" ref="E51" si="34">SUM(G51:X51)</f>
        <v>36</v>
      </c>
      <c r="F51" s="73"/>
      <c r="G51" s="71">
        <v>2</v>
      </c>
      <c r="H51" s="71">
        <v>2</v>
      </c>
      <c r="I51" s="71">
        <v>2</v>
      </c>
      <c r="J51" s="71">
        <v>2</v>
      </c>
      <c r="K51" s="71">
        <v>2</v>
      </c>
      <c r="L51" s="71">
        <v>2</v>
      </c>
      <c r="M51" s="71">
        <v>2</v>
      </c>
      <c r="N51" s="71">
        <v>2</v>
      </c>
      <c r="O51" s="71">
        <v>2</v>
      </c>
      <c r="P51" s="71">
        <v>2</v>
      </c>
      <c r="Q51" s="71">
        <v>2</v>
      </c>
      <c r="R51" s="71">
        <v>2</v>
      </c>
      <c r="S51" s="71">
        <v>2</v>
      </c>
      <c r="T51" s="71">
        <v>2</v>
      </c>
      <c r="U51" s="71">
        <v>2</v>
      </c>
      <c r="V51" s="71">
        <v>2</v>
      </c>
      <c r="W51" s="71">
        <v>2</v>
      </c>
      <c r="X51" s="90">
        <v>2</v>
      </c>
      <c r="Y51" s="91"/>
      <c r="Z51" s="72"/>
      <c r="AA51" s="72"/>
      <c r="AB51" s="72"/>
      <c r="AC51" s="72"/>
      <c r="AD51" s="72"/>
      <c r="AE51" s="76"/>
      <c r="AM51" s="12"/>
      <c r="AN51" s="96"/>
      <c r="AO51" s="184"/>
      <c r="AP51" s="184"/>
      <c r="AQ51" s="11"/>
      <c r="AR51" s="11"/>
    </row>
    <row r="52" spans="1:44" s="4" customFormat="1" ht="19.5" thickBot="1">
      <c r="A52" s="88"/>
      <c r="B52" s="89"/>
      <c r="C52" s="79"/>
      <c r="D52" s="80"/>
      <c r="E52" s="80"/>
      <c r="F52" s="81">
        <f t="shared" ref="F52" si="35">SUM(G52:X52)</f>
        <v>0</v>
      </c>
      <c r="G52" s="79"/>
      <c r="H52" s="80"/>
      <c r="I52" s="80"/>
      <c r="J52" s="79"/>
      <c r="K52" s="79"/>
      <c r="L52" s="80"/>
      <c r="M52" s="80"/>
      <c r="N52" s="80"/>
      <c r="O52" s="80"/>
      <c r="P52" s="80"/>
      <c r="Q52" s="79"/>
      <c r="R52" s="79"/>
      <c r="S52" s="80"/>
      <c r="T52" s="80"/>
      <c r="U52" s="80"/>
      <c r="V52" s="80"/>
      <c r="W52" s="80"/>
      <c r="X52" s="92"/>
      <c r="Y52" s="86"/>
      <c r="Z52" s="87"/>
      <c r="AA52" s="87"/>
      <c r="AB52" s="87"/>
      <c r="AC52" s="87"/>
      <c r="AD52" s="87"/>
      <c r="AE52" s="81">
        <v>36</v>
      </c>
      <c r="AM52" s="12"/>
      <c r="AN52" s="96"/>
      <c r="AO52" s="184"/>
      <c r="AP52" s="184"/>
      <c r="AQ52" s="11"/>
      <c r="AR52" s="11"/>
    </row>
    <row r="53" spans="1:44" s="4" customFormat="1" ht="37.5">
      <c r="A53" s="82">
        <v>27</v>
      </c>
      <c r="B53" s="83" t="s">
        <v>36</v>
      </c>
      <c r="C53" s="64">
        <f t="shared" ref="C53" si="36">SUM(D53:F55)</f>
        <v>90</v>
      </c>
      <c r="D53" s="65">
        <f t="shared" ref="D53" si="37">SUM(G53:X53)</f>
        <v>36</v>
      </c>
      <c r="E53" s="65"/>
      <c r="F53" s="66"/>
      <c r="G53" s="67">
        <v>2</v>
      </c>
      <c r="H53" s="67">
        <v>2</v>
      </c>
      <c r="I53" s="67">
        <v>2</v>
      </c>
      <c r="J53" s="67">
        <v>2</v>
      </c>
      <c r="K53" s="67">
        <v>2</v>
      </c>
      <c r="L53" s="67">
        <v>2</v>
      </c>
      <c r="M53" s="67">
        <v>2</v>
      </c>
      <c r="N53" s="67">
        <v>2</v>
      </c>
      <c r="O53" s="67">
        <v>2</v>
      </c>
      <c r="P53" s="67">
        <v>2</v>
      </c>
      <c r="Q53" s="67">
        <v>2</v>
      </c>
      <c r="R53" s="67">
        <v>2</v>
      </c>
      <c r="S53" s="67">
        <v>2</v>
      </c>
      <c r="T53" s="67">
        <v>2</v>
      </c>
      <c r="U53" s="67">
        <v>2</v>
      </c>
      <c r="V53" s="67">
        <v>2</v>
      </c>
      <c r="W53" s="67">
        <v>2</v>
      </c>
      <c r="X53" s="66">
        <v>2</v>
      </c>
      <c r="Y53" s="64"/>
      <c r="Z53" s="65"/>
      <c r="AA53" s="65"/>
      <c r="AB53" s="65"/>
      <c r="AC53" s="65"/>
      <c r="AD53" s="65"/>
      <c r="AE53" s="66" t="s">
        <v>24</v>
      </c>
      <c r="AM53" s="11"/>
      <c r="AN53" s="11"/>
      <c r="AO53" s="11"/>
      <c r="AP53" s="11"/>
      <c r="AQ53" s="11"/>
      <c r="AR53" s="11"/>
    </row>
    <row r="54" spans="1:44" s="4" customFormat="1">
      <c r="A54" s="84"/>
      <c r="B54" s="85"/>
      <c r="C54" s="71"/>
      <c r="D54" s="72"/>
      <c r="E54" s="72">
        <f t="shared" ref="E54" si="38">SUM(G54:X54)</f>
        <v>54</v>
      </c>
      <c r="F54" s="73"/>
      <c r="G54" s="71">
        <v>2</v>
      </c>
      <c r="H54" s="71">
        <v>4</v>
      </c>
      <c r="I54" s="71">
        <v>2</v>
      </c>
      <c r="J54" s="71">
        <v>4</v>
      </c>
      <c r="K54" s="71">
        <v>2</v>
      </c>
      <c r="L54" s="71">
        <v>4</v>
      </c>
      <c r="M54" s="71">
        <v>2</v>
      </c>
      <c r="N54" s="71">
        <v>4</v>
      </c>
      <c r="O54" s="71">
        <v>2</v>
      </c>
      <c r="P54" s="71">
        <v>4</v>
      </c>
      <c r="Q54" s="71">
        <v>2</v>
      </c>
      <c r="R54" s="71">
        <v>4</v>
      </c>
      <c r="S54" s="71">
        <v>2</v>
      </c>
      <c r="T54" s="71">
        <v>4</v>
      </c>
      <c r="U54" s="71">
        <v>4</v>
      </c>
      <c r="V54" s="71">
        <v>2</v>
      </c>
      <c r="W54" s="71">
        <v>4</v>
      </c>
      <c r="X54" s="90">
        <v>2</v>
      </c>
      <c r="Y54" s="91"/>
      <c r="Z54" s="72"/>
      <c r="AA54" s="72"/>
      <c r="AB54" s="72"/>
      <c r="AC54" s="72"/>
      <c r="AD54" s="72"/>
      <c r="AE54" s="76"/>
      <c r="AM54" s="12"/>
      <c r="AN54" s="96"/>
      <c r="AO54" s="184"/>
      <c r="AP54" s="184"/>
      <c r="AQ54" s="11"/>
      <c r="AR54" s="11"/>
    </row>
    <row r="55" spans="1:44" s="4" customFormat="1" ht="19.5" thickBot="1">
      <c r="A55" s="88"/>
      <c r="B55" s="89"/>
      <c r="C55" s="79"/>
      <c r="D55" s="80"/>
      <c r="E55" s="80"/>
      <c r="F55" s="81">
        <f t="shared" ref="F55" si="39">SUM(G55:X55)</f>
        <v>0</v>
      </c>
      <c r="G55" s="79"/>
      <c r="H55" s="80"/>
      <c r="I55" s="80"/>
      <c r="J55" s="79"/>
      <c r="K55" s="79"/>
      <c r="L55" s="80"/>
      <c r="M55" s="80"/>
      <c r="N55" s="80"/>
      <c r="O55" s="80"/>
      <c r="P55" s="80"/>
      <c r="Q55" s="79"/>
      <c r="R55" s="79"/>
      <c r="S55" s="80"/>
      <c r="T55" s="80"/>
      <c r="U55" s="80"/>
      <c r="V55" s="80"/>
      <c r="W55" s="80"/>
      <c r="X55" s="92"/>
      <c r="Y55" s="86"/>
      <c r="Z55" s="87"/>
      <c r="AA55" s="87"/>
      <c r="AB55" s="87"/>
      <c r="AC55" s="87"/>
      <c r="AD55" s="87"/>
      <c r="AE55" s="81">
        <v>36</v>
      </c>
      <c r="AM55" s="12"/>
      <c r="AN55" s="96"/>
      <c r="AO55" s="184"/>
      <c r="AP55" s="184"/>
      <c r="AQ55" s="11"/>
      <c r="AR55" s="11"/>
    </row>
    <row r="56" spans="1:44" s="4" customFormat="1" ht="19.5">
      <c r="A56" s="82">
        <v>27</v>
      </c>
      <c r="B56" s="83" t="s">
        <v>37</v>
      </c>
      <c r="C56" s="64">
        <f t="shared" ref="C56" si="40">SUM(D56:F58)</f>
        <v>54</v>
      </c>
      <c r="D56" s="65">
        <f t="shared" ref="D56" si="41">SUM(G56:X56)</f>
        <v>18</v>
      </c>
      <c r="E56" s="65"/>
      <c r="F56" s="66"/>
      <c r="G56" s="67">
        <v>2</v>
      </c>
      <c r="H56" s="68"/>
      <c r="I56" s="68">
        <v>2</v>
      </c>
      <c r="J56" s="67"/>
      <c r="K56" s="64">
        <v>2</v>
      </c>
      <c r="L56" s="65"/>
      <c r="M56" s="65">
        <v>2</v>
      </c>
      <c r="N56" s="65"/>
      <c r="O56" s="65">
        <v>2</v>
      </c>
      <c r="P56" s="65"/>
      <c r="Q56" s="64">
        <v>2</v>
      </c>
      <c r="R56" s="64"/>
      <c r="S56" s="65">
        <v>2</v>
      </c>
      <c r="T56" s="65"/>
      <c r="U56" s="65">
        <v>2</v>
      </c>
      <c r="V56" s="65"/>
      <c r="W56" s="65">
        <v>2</v>
      </c>
      <c r="X56" s="66"/>
      <c r="Y56" s="64"/>
      <c r="Z56" s="65"/>
      <c r="AA56" s="65"/>
      <c r="AB56" s="65"/>
      <c r="AC56" s="65"/>
      <c r="AD56" s="65"/>
      <c r="AE56" s="66" t="s">
        <v>34</v>
      </c>
      <c r="AM56" s="11"/>
      <c r="AN56" s="11"/>
      <c r="AO56" s="11"/>
      <c r="AP56" s="11"/>
      <c r="AQ56" s="11"/>
      <c r="AR56" s="11"/>
    </row>
    <row r="57" spans="1:44" s="4" customFormat="1">
      <c r="A57" s="84"/>
      <c r="B57" s="85"/>
      <c r="C57" s="71"/>
      <c r="D57" s="72"/>
      <c r="E57" s="72">
        <f t="shared" ref="E57" si="42">SUM(G57:X57)</f>
        <v>36</v>
      </c>
      <c r="F57" s="73"/>
      <c r="G57" s="71">
        <v>2</v>
      </c>
      <c r="H57" s="71">
        <v>2</v>
      </c>
      <c r="I57" s="71">
        <v>2</v>
      </c>
      <c r="J57" s="71">
        <v>2</v>
      </c>
      <c r="K57" s="71">
        <v>2</v>
      </c>
      <c r="L57" s="71">
        <v>2</v>
      </c>
      <c r="M57" s="71">
        <v>2</v>
      </c>
      <c r="N57" s="71">
        <v>2</v>
      </c>
      <c r="O57" s="71">
        <v>2</v>
      </c>
      <c r="P57" s="71">
        <v>2</v>
      </c>
      <c r="Q57" s="71">
        <v>2</v>
      </c>
      <c r="R57" s="71">
        <v>2</v>
      </c>
      <c r="S57" s="71">
        <v>2</v>
      </c>
      <c r="T57" s="71">
        <v>2</v>
      </c>
      <c r="U57" s="71">
        <v>2</v>
      </c>
      <c r="V57" s="71">
        <v>2</v>
      </c>
      <c r="W57" s="71">
        <v>2</v>
      </c>
      <c r="X57" s="90">
        <v>2</v>
      </c>
      <c r="Y57" s="91"/>
      <c r="Z57" s="72"/>
      <c r="AA57" s="72"/>
      <c r="AB57" s="72"/>
      <c r="AC57" s="72"/>
      <c r="AD57" s="72"/>
      <c r="AE57" s="76"/>
      <c r="AM57" s="12"/>
      <c r="AN57" s="96"/>
      <c r="AO57" s="184"/>
      <c r="AP57" s="184"/>
      <c r="AQ57" s="11"/>
      <c r="AR57" s="11"/>
    </row>
    <row r="58" spans="1:44" s="4" customFormat="1" ht="19.5" thickBot="1">
      <c r="A58" s="98"/>
      <c r="B58" s="89"/>
      <c r="C58" s="79"/>
      <c r="D58" s="80"/>
      <c r="E58" s="80"/>
      <c r="F58" s="81">
        <f t="shared" ref="F58" si="43">SUM(G58:X58)</f>
        <v>0</v>
      </c>
      <c r="G58" s="79"/>
      <c r="H58" s="80"/>
      <c r="I58" s="80"/>
      <c r="J58" s="79"/>
      <c r="K58" s="79"/>
      <c r="L58" s="80"/>
      <c r="M58" s="80"/>
      <c r="N58" s="80"/>
      <c r="O58" s="80"/>
      <c r="P58" s="80"/>
      <c r="Q58" s="79"/>
      <c r="R58" s="79"/>
      <c r="S58" s="80"/>
      <c r="T58" s="80"/>
      <c r="U58" s="80"/>
      <c r="V58" s="80"/>
      <c r="W58" s="80"/>
      <c r="X58" s="92"/>
      <c r="Y58" s="79"/>
      <c r="Z58" s="80"/>
      <c r="AA58" s="80"/>
      <c r="AB58" s="80"/>
      <c r="AC58" s="80"/>
      <c r="AD58" s="80"/>
      <c r="AE58" s="81">
        <v>9</v>
      </c>
      <c r="AM58" s="12"/>
      <c r="AN58" s="96"/>
      <c r="AO58" s="184"/>
      <c r="AP58" s="184"/>
      <c r="AQ58" s="11"/>
      <c r="AR58" s="11"/>
    </row>
    <row r="59" spans="1:44" ht="37.5">
      <c r="A59" s="82">
        <v>27</v>
      </c>
      <c r="B59" s="83" t="s">
        <v>38</v>
      </c>
      <c r="C59" s="64">
        <f t="shared" ref="C59" si="44">SUM(D59:F61)</f>
        <v>72</v>
      </c>
      <c r="D59" s="65">
        <f t="shared" ref="D59" si="45">SUM(G59:X59)</f>
        <v>36</v>
      </c>
      <c r="E59" s="65"/>
      <c r="F59" s="66"/>
      <c r="G59" s="67">
        <v>2</v>
      </c>
      <c r="H59" s="67">
        <v>2</v>
      </c>
      <c r="I59" s="67">
        <v>2</v>
      </c>
      <c r="J59" s="67">
        <v>2</v>
      </c>
      <c r="K59" s="67">
        <v>2</v>
      </c>
      <c r="L59" s="67">
        <v>2</v>
      </c>
      <c r="M59" s="67">
        <v>2</v>
      </c>
      <c r="N59" s="67">
        <v>2</v>
      </c>
      <c r="O59" s="67">
        <v>2</v>
      </c>
      <c r="P59" s="67">
        <v>2</v>
      </c>
      <c r="Q59" s="67">
        <v>2</v>
      </c>
      <c r="R59" s="67">
        <v>2</v>
      </c>
      <c r="S59" s="67">
        <v>2</v>
      </c>
      <c r="T59" s="67">
        <v>2</v>
      </c>
      <c r="U59" s="67">
        <v>2</v>
      </c>
      <c r="V59" s="67">
        <v>2</v>
      </c>
      <c r="W59" s="67">
        <v>2</v>
      </c>
      <c r="X59" s="66">
        <v>2</v>
      </c>
      <c r="Y59" s="64"/>
      <c r="Z59" s="65"/>
      <c r="AA59" s="65"/>
      <c r="AB59" s="65"/>
      <c r="AC59" s="65"/>
      <c r="AD59" s="65"/>
      <c r="AE59" s="66" t="s">
        <v>34</v>
      </c>
    </row>
    <row r="60" spans="1:44">
      <c r="A60" s="84"/>
      <c r="B60" s="85"/>
      <c r="C60" s="71"/>
      <c r="D60" s="72"/>
      <c r="E60" s="72">
        <f t="shared" ref="E60" si="46">SUM(G60:X60)</f>
        <v>36</v>
      </c>
      <c r="F60" s="73"/>
      <c r="G60" s="71">
        <v>2</v>
      </c>
      <c r="H60" s="71">
        <v>2</v>
      </c>
      <c r="I60" s="71">
        <v>2</v>
      </c>
      <c r="J60" s="71">
        <v>2</v>
      </c>
      <c r="K60" s="71">
        <v>2</v>
      </c>
      <c r="L60" s="71">
        <v>2</v>
      </c>
      <c r="M60" s="71">
        <v>2</v>
      </c>
      <c r="N60" s="71">
        <v>2</v>
      </c>
      <c r="O60" s="71">
        <v>2</v>
      </c>
      <c r="P60" s="71">
        <v>2</v>
      </c>
      <c r="Q60" s="71">
        <v>2</v>
      </c>
      <c r="R60" s="71">
        <v>2</v>
      </c>
      <c r="S60" s="71">
        <v>2</v>
      </c>
      <c r="T60" s="71">
        <v>2</v>
      </c>
      <c r="U60" s="71">
        <v>2</v>
      </c>
      <c r="V60" s="71">
        <v>2</v>
      </c>
      <c r="W60" s="71">
        <v>2</v>
      </c>
      <c r="X60" s="90">
        <v>2</v>
      </c>
      <c r="Y60" s="91"/>
      <c r="Z60" s="72"/>
      <c r="AA60" s="72"/>
      <c r="AB60" s="72"/>
      <c r="AC60" s="72"/>
      <c r="AD60" s="72"/>
      <c r="AE60" s="76"/>
    </row>
    <row r="61" spans="1:44" ht="19.5" thickBot="1">
      <c r="A61" s="98"/>
      <c r="B61" s="89"/>
      <c r="C61" s="79"/>
      <c r="D61" s="80"/>
      <c r="E61" s="80"/>
      <c r="F61" s="81">
        <f t="shared" ref="F61" si="47">SUM(G61:X61)</f>
        <v>0</v>
      </c>
      <c r="G61" s="79"/>
      <c r="H61" s="80"/>
      <c r="I61" s="80"/>
      <c r="J61" s="79"/>
      <c r="K61" s="79"/>
      <c r="L61" s="80"/>
      <c r="M61" s="80"/>
      <c r="N61" s="80"/>
      <c r="O61" s="80"/>
      <c r="P61" s="80"/>
      <c r="Q61" s="79"/>
      <c r="R61" s="79"/>
      <c r="S61" s="80"/>
      <c r="T61" s="80"/>
      <c r="U61" s="80"/>
      <c r="V61" s="80"/>
      <c r="W61" s="80"/>
      <c r="X61" s="92"/>
      <c r="Y61" s="86"/>
      <c r="Z61" s="87"/>
      <c r="AA61" s="87"/>
      <c r="AB61" s="87"/>
      <c r="AC61" s="87"/>
      <c r="AD61" s="87"/>
      <c r="AE61" s="81">
        <v>9</v>
      </c>
    </row>
    <row r="62" spans="1:44" s="4" customFormat="1" ht="19.5" thickBot="1">
      <c r="A62" s="185" t="s">
        <v>40</v>
      </c>
      <c r="B62" s="186"/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7"/>
      <c r="AM62" s="11"/>
      <c r="AN62" s="11"/>
      <c r="AO62" s="11"/>
      <c r="AP62" s="11"/>
      <c r="AQ62" s="11"/>
      <c r="AR62" s="11"/>
    </row>
    <row r="63" spans="1:44" s="4" customFormat="1" ht="37.5">
      <c r="A63" s="82">
        <v>27</v>
      </c>
      <c r="B63" s="83" t="s">
        <v>23</v>
      </c>
      <c r="C63" s="64">
        <f>SUM(D63:F65)</f>
        <v>48</v>
      </c>
      <c r="D63" s="65">
        <f>SUM(G63:X63)</f>
        <v>16</v>
      </c>
      <c r="E63" s="65"/>
      <c r="F63" s="66"/>
      <c r="G63" s="64">
        <v>2</v>
      </c>
      <c r="H63" s="65"/>
      <c r="I63" s="65">
        <v>2</v>
      </c>
      <c r="J63" s="65"/>
      <c r="K63" s="64">
        <v>2</v>
      </c>
      <c r="L63" s="65"/>
      <c r="M63" s="65">
        <v>2</v>
      </c>
      <c r="N63" s="65"/>
      <c r="O63" s="65">
        <v>2</v>
      </c>
      <c r="P63" s="65"/>
      <c r="Q63" s="64">
        <v>2</v>
      </c>
      <c r="R63" s="64"/>
      <c r="S63" s="65">
        <v>2</v>
      </c>
      <c r="T63" s="65"/>
      <c r="U63" s="65">
        <v>2</v>
      </c>
      <c r="V63" s="66"/>
      <c r="W63" s="64"/>
      <c r="X63" s="65"/>
      <c r="Y63" s="64"/>
      <c r="Z63" s="65"/>
      <c r="AA63" s="65"/>
      <c r="AB63" s="65"/>
      <c r="AC63" s="65"/>
      <c r="AD63" s="65"/>
      <c r="AE63" s="66" t="s">
        <v>24</v>
      </c>
      <c r="AM63" s="11"/>
      <c r="AN63" s="11"/>
      <c r="AO63" s="11"/>
      <c r="AP63" s="11"/>
      <c r="AQ63" s="11"/>
      <c r="AR63" s="11"/>
    </row>
    <row r="64" spans="1:44" s="4" customFormat="1">
      <c r="A64" s="84"/>
      <c r="B64" s="85"/>
      <c r="C64" s="71"/>
      <c r="D64" s="72"/>
      <c r="E64" s="72">
        <f>SUM(G64:X64)</f>
        <v>24</v>
      </c>
      <c r="F64" s="73"/>
      <c r="G64" s="71">
        <v>2</v>
      </c>
      <c r="H64" s="71">
        <v>2</v>
      </c>
      <c r="I64" s="71">
        <v>2</v>
      </c>
      <c r="J64" s="71">
        <v>2</v>
      </c>
      <c r="K64" s="71">
        <v>2</v>
      </c>
      <c r="L64" s="71">
        <v>2</v>
      </c>
      <c r="M64" s="71">
        <v>2</v>
      </c>
      <c r="N64" s="71">
        <v>2</v>
      </c>
      <c r="O64" s="71">
        <v>2</v>
      </c>
      <c r="P64" s="71">
        <v>2</v>
      </c>
      <c r="Q64" s="71">
        <v>2</v>
      </c>
      <c r="R64" s="71">
        <v>2</v>
      </c>
      <c r="S64" s="71"/>
      <c r="T64" s="71"/>
      <c r="U64" s="75"/>
      <c r="V64" s="102"/>
      <c r="W64" s="74"/>
      <c r="X64" s="72"/>
      <c r="Y64" s="71"/>
      <c r="Z64" s="72"/>
      <c r="AA64" s="72"/>
      <c r="AB64" s="72"/>
      <c r="AC64" s="72"/>
      <c r="AD64" s="72"/>
      <c r="AE64" s="76"/>
      <c r="AM64" s="12"/>
      <c r="AN64" s="96"/>
      <c r="AO64" s="184"/>
      <c r="AP64" s="184"/>
      <c r="AQ64" s="11"/>
      <c r="AR64" s="11"/>
    </row>
    <row r="65" spans="1:44" s="4" customFormat="1" ht="19.5" thickBot="1">
      <c r="A65" s="88"/>
      <c r="B65" s="89"/>
      <c r="C65" s="79"/>
      <c r="D65" s="80"/>
      <c r="E65" s="80"/>
      <c r="F65" s="81">
        <f>SUM(G65:X65)</f>
        <v>8</v>
      </c>
      <c r="G65" s="79"/>
      <c r="H65" s="80"/>
      <c r="I65" s="80"/>
      <c r="J65" s="80"/>
      <c r="K65" s="79"/>
      <c r="L65" s="80"/>
      <c r="M65" s="80"/>
      <c r="N65" s="80"/>
      <c r="O65" s="80"/>
      <c r="P65" s="80"/>
      <c r="Q65" s="79"/>
      <c r="R65" s="79"/>
      <c r="S65" s="80">
        <v>2</v>
      </c>
      <c r="T65" s="80">
        <v>2</v>
      </c>
      <c r="U65" s="80">
        <v>2</v>
      </c>
      <c r="V65" s="81">
        <v>2</v>
      </c>
      <c r="W65" s="79"/>
      <c r="X65" s="80"/>
      <c r="Y65" s="79"/>
      <c r="Z65" s="80"/>
      <c r="AA65" s="80"/>
      <c r="AB65" s="80"/>
      <c r="AC65" s="80"/>
      <c r="AD65" s="80"/>
      <c r="AE65" s="81">
        <v>36</v>
      </c>
      <c r="AM65" s="12"/>
      <c r="AN65" s="96"/>
      <c r="AO65" s="184"/>
      <c r="AP65" s="184"/>
      <c r="AQ65" s="11"/>
      <c r="AR65" s="11"/>
    </row>
    <row r="66" spans="1:44" s="4" customFormat="1" ht="37.5">
      <c r="A66" s="82">
        <v>27</v>
      </c>
      <c r="B66" s="83" t="s">
        <v>20</v>
      </c>
      <c r="C66" s="64">
        <f>SUM(D66:F68)</f>
        <v>48</v>
      </c>
      <c r="D66" s="65">
        <f>SUM(G66:X66)</f>
        <v>16</v>
      </c>
      <c r="E66" s="65"/>
      <c r="F66" s="66"/>
      <c r="G66" s="64">
        <v>2</v>
      </c>
      <c r="H66" s="65"/>
      <c r="I66" s="65">
        <v>2</v>
      </c>
      <c r="J66" s="65"/>
      <c r="K66" s="64">
        <v>2</v>
      </c>
      <c r="L66" s="65"/>
      <c r="M66" s="65">
        <v>2</v>
      </c>
      <c r="N66" s="65"/>
      <c r="O66" s="65">
        <v>2</v>
      </c>
      <c r="P66" s="65"/>
      <c r="Q66" s="64">
        <v>2</v>
      </c>
      <c r="R66" s="64"/>
      <c r="S66" s="65">
        <v>2</v>
      </c>
      <c r="T66" s="65"/>
      <c r="U66" s="65">
        <v>2</v>
      </c>
      <c r="V66" s="66"/>
      <c r="W66" s="64"/>
      <c r="X66" s="65"/>
      <c r="Y66" s="64"/>
      <c r="Z66" s="65"/>
      <c r="AA66" s="65"/>
      <c r="AB66" s="65"/>
      <c r="AC66" s="65"/>
      <c r="AD66" s="65"/>
      <c r="AE66" s="66" t="s">
        <v>24</v>
      </c>
      <c r="AM66" s="11"/>
      <c r="AN66" s="11"/>
      <c r="AO66" s="11"/>
      <c r="AP66" s="11"/>
      <c r="AQ66" s="11"/>
      <c r="AR66" s="11"/>
    </row>
    <row r="67" spans="1:44" s="4" customFormat="1">
      <c r="A67" s="84"/>
      <c r="B67" s="85"/>
      <c r="C67" s="71"/>
      <c r="D67" s="72"/>
      <c r="E67" s="72">
        <f>SUM(G67:X67)</f>
        <v>26</v>
      </c>
      <c r="F67" s="73"/>
      <c r="G67" s="71">
        <v>2</v>
      </c>
      <c r="H67" s="71">
        <v>2</v>
      </c>
      <c r="I67" s="71">
        <v>2</v>
      </c>
      <c r="J67" s="71">
        <v>2</v>
      </c>
      <c r="K67" s="71">
        <v>2</v>
      </c>
      <c r="L67" s="71">
        <v>2</v>
      </c>
      <c r="M67" s="71">
        <v>2</v>
      </c>
      <c r="N67" s="71">
        <v>2</v>
      </c>
      <c r="O67" s="71">
        <v>2</v>
      </c>
      <c r="P67" s="71">
        <v>2</v>
      </c>
      <c r="Q67" s="71">
        <v>2</v>
      </c>
      <c r="R67" s="71">
        <v>2</v>
      </c>
      <c r="S67" s="71">
        <v>2</v>
      </c>
      <c r="T67" s="71"/>
      <c r="U67" s="75"/>
      <c r="V67" s="102"/>
      <c r="W67" s="74"/>
      <c r="X67" s="72"/>
      <c r="Y67" s="71"/>
      <c r="Z67" s="72"/>
      <c r="AA67" s="72"/>
      <c r="AB67" s="72"/>
      <c r="AC67" s="72"/>
      <c r="AD67" s="72"/>
      <c r="AE67" s="76"/>
      <c r="AM67" s="12"/>
      <c r="AN67" s="96"/>
      <c r="AO67" s="184"/>
      <c r="AP67" s="184"/>
      <c r="AQ67" s="11"/>
      <c r="AR67" s="11"/>
    </row>
    <row r="68" spans="1:44" s="4" customFormat="1" ht="19.5" thickBot="1">
      <c r="A68" s="88"/>
      <c r="B68" s="89"/>
      <c r="C68" s="79"/>
      <c r="D68" s="80"/>
      <c r="E68" s="80"/>
      <c r="F68" s="81">
        <f>SUM(G68:X68)</f>
        <v>6</v>
      </c>
      <c r="G68" s="79"/>
      <c r="H68" s="80"/>
      <c r="I68" s="80"/>
      <c r="J68" s="80"/>
      <c r="K68" s="79"/>
      <c r="L68" s="80"/>
      <c r="M68" s="80"/>
      <c r="N68" s="80"/>
      <c r="O68" s="80"/>
      <c r="P68" s="80"/>
      <c r="Q68" s="79"/>
      <c r="R68" s="79"/>
      <c r="S68" s="80"/>
      <c r="T68" s="80">
        <v>2</v>
      </c>
      <c r="U68" s="80">
        <v>2</v>
      </c>
      <c r="V68" s="81">
        <v>2</v>
      </c>
      <c r="W68" s="79"/>
      <c r="X68" s="80"/>
      <c r="Y68" s="79"/>
      <c r="Z68" s="80"/>
      <c r="AA68" s="80"/>
      <c r="AB68" s="80"/>
      <c r="AC68" s="80"/>
      <c r="AD68" s="80"/>
      <c r="AE68" s="81">
        <v>36</v>
      </c>
      <c r="AM68" s="12"/>
      <c r="AN68" s="96"/>
      <c r="AO68" s="184"/>
      <c r="AP68" s="184"/>
      <c r="AQ68" s="11"/>
      <c r="AR68" s="11"/>
    </row>
    <row r="69" spans="1:44" s="4" customFormat="1" ht="19.5" thickBot="1">
      <c r="A69" s="185" t="s">
        <v>41</v>
      </c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6"/>
      <c r="R69" s="186"/>
      <c r="S69" s="186"/>
      <c r="T69" s="186"/>
      <c r="U69" s="186"/>
      <c r="V69" s="186"/>
      <c r="W69" s="186"/>
      <c r="X69" s="186"/>
      <c r="Y69" s="186"/>
      <c r="Z69" s="186"/>
      <c r="AA69" s="186"/>
      <c r="AB69" s="186"/>
      <c r="AC69" s="186"/>
      <c r="AD69" s="186"/>
      <c r="AE69" s="187"/>
      <c r="AM69" s="12"/>
      <c r="AN69" s="96"/>
      <c r="AO69" s="184"/>
      <c r="AP69" s="184"/>
      <c r="AQ69" s="11"/>
      <c r="AR69" s="11"/>
    </row>
    <row r="70" spans="1:44" ht="37.5">
      <c r="A70" s="82">
        <v>27</v>
      </c>
      <c r="B70" s="83" t="s">
        <v>30</v>
      </c>
      <c r="C70" s="64">
        <f t="shared" ref="C70" si="48">SUM(D70:F72)</f>
        <v>36</v>
      </c>
      <c r="D70" s="65">
        <f t="shared" ref="D70" si="49">SUM(G70:X70)</f>
        <v>18</v>
      </c>
      <c r="E70" s="65"/>
      <c r="F70" s="66"/>
      <c r="G70" s="67">
        <v>2</v>
      </c>
      <c r="H70" s="68"/>
      <c r="I70" s="68">
        <v>2</v>
      </c>
      <c r="J70" s="67"/>
      <c r="K70" s="64">
        <v>2</v>
      </c>
      <c r="L70" s="65"/>
      <c r="M70" s="65">
        <v>2</v>
      </c>
      <c r="N70" s="65"/>
      <c r="O70" s="65">
        <v>2</v>
      </c>
      <c r="P70" s="65"/>
      <c r="Q70" s="64">
        <v>2</v>
      </c>
      <c r="R70" s="64"/>
      <c r="S70" s="65">
        <v>2</v>
      </c>
      <c r="T70" s="65"/>
      <c r="U70" s="65">
        <v>2</v>
      </c>
      <c r="V70" s="65"/>
      <c r="W70" s="65">
        <v>2</v>
      </c>
      <c r="X70" s="66"/>
      <c r="Y70" s="64"/>
      <c r="Z70" s="65"/>
      <c r="AA70" s="65"/>
      <c r="AB70" s="65"/>
      <c r="AC70" s="65"/>
      <c r="AD70" s="65"/>
      <c r="AE70" s="66" t="s">
        <v>21</v>
      </c>
    </row>
    <row r="71" spans="1:44">
      <c r="A71" s="84"/>
      <c r="B71" s="85"/>
      <c r="C71" s="71"/>
      <c r="D71" s="72"/>
      <c r="E71" s="72">
        <f t="shared" ref="E71" si="50">SUM(G71:X71)</f>
        <v>18</v>
      </c>
      <c r="F71" s="73"/>
      <c r="G71" s="71"/>
      <c r="H71" s="71">
        <v>2</v>
      </c>
      <c r="I71" s="71"/>
      <c r="J71" s="71">
        <v>2</v>
      </c>
      <c r="K71" s="71"/>
      <c r="L71" s="71">
        <v>2</v>
      </c>
      <c r="M71" s="71"/>
      <c r="N71" s="71">
        <v>2</v>
      </c>
      <c r="O71" s="71"/>
      <c r="P71" s="71">
        <v>2</v>
      </c>
      <c r="Q71" s="71"/>
      <c r="R71" s="71">
        <v>2</v>
      </c>
      <c r="S71" s="71"/>
      <c r="T71" s="71">
        <v>2</v>
      </c>
      <c r="U71" s="71"/>
      <c r="V71" s="71">
        <v>2</v>
      </c>
      <c r="W71" s="71"/>
      <c r="X71" s="90">
        <v>2</v>
      </c>
      <c r="Y71" s="91"/>
      <c r="Z71" s="72"/>
      <c r="AA71" s="72"/>
      <c r="AB71" s="72"/>
      <c r="AC71" s="72"/>
      <c r="AD71" s="72"/>
      <c r="AE71" s="76"/>
    </row>
    <row r="72" spans="1:44" ht="19.5" thickBot="1">
      <c r="A72" s="98"/>
      <c r="B72" s="89"/>
      <c r="C72" s="79"/>
      <c r="D72" s="80"/>
      <c r="E72" s="80"/>
      <c r="F72" s="81">
        <f t="shared" ref="F72" si="51">SUM(G72:X72)</f>
        <v>0</v>
      </c>
      <c r="G72" s="79"/>
      <c r="H72" s="80"/>
      <c r="I72" s="80"/>
      <c r="J72" s="79"/>
      <c r="K72" s="79"/>
      <c r="L72" s="80"/>
      <c r="M72" s="80"/>
      <c r="N72" s="80"/>
      <c r="O72" s="80"/>
      <c r="P72" s="80"/>
      <c r="Q72" s="79"/>
      <c r="R72" s="79"/>
      <c r="S72" s="80"/>
      <c r="T72" s="80"/>
      <c r="U72" s="80"/>
      <c r="V72" s="80"/>
      <c r="W72" s="80"/>
      <c r="X72" s="92"/>
      <c r="Y72" s="79"/>
      <c r="Z72" s="80"/>
      <c r="AA72" s="80"/>
      <c r="AB72" s="80"/>
      <c r="AC72" s="80"/>
      <c r="AD72" s="80"/>
      <c r="AE72" s="81">
        <v>9</v>
      </c>
    </row>
    <row r="73" spans="1:44" s="4" customFormat="1" ht="19.5" thickBot="1">
      <c r="A73" s="185" t="s">
        <v>42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6"/>
      <c r="S73" s="186"/>
      <c r="T73" s="186"/>
      <c r="U73" s="186"/>
      <c r="V73" s="186"/>
      <c r="W73" s="186"/>
      <c r="X73" s="186"/>
      <c r="Y73" s="186"/>
      <c r="Z73" s="186"/>
      <c r="AA73" s="186"/>
      <c r="AB73" s="186"/>
      <c r="AC73" s="186"/>
      <c r="AD73" s="186"/>
      <c r="AE73" s="187"/>
      <c r="AM73" s="12"/>
      <c r="AN73" s="96"/>
      <c r="AO73" s="184"/>
      <c r="AP73" s="184"/>
      <c r="AQ73" s="11"/>
      <c r="AR73" s="11"/>
    </row>
    <row r="74" spans="1:44" s="4" customFormat="1" ht="37.5">
      <c r="A74" s="82">
        <v>27</v>
      </c>
      <c r="B74" s="83" t="s">
        <v>23</v>
      </c>
      <c r="C74" s="64">
        <f t="shared" ref="C74" si="52">SUM(D74:F76)</f>
        <v>54</v>
      </c>
      <c r="D74" s="65">
        <f t="shared" ref="D74" si="53">SUM(G74:X74)</f>
        <v>18</v>
      </c>
      <c r="E74" s="65"/>
      <c r="F74" s="66"/>
      <c r="G74" s="67">
        <v>2</v>
      </c>
      <c r="H74" s="68"/>
      <c r="I74" s="68">
        <v>2</v>
      </c>
      <c r="J74" s="67"/>
      <c r="K74" s="64">
        <v>2</v>
      </c>
      <c r="L74" s="65"/>
      <c r="M74" s="65">
        <v>2</v>
      </c>
      <c r="N74" s="65"/>
      <c r="O74" s="65">
        <v>2</v>
      </c>
      <c r="P74" s="65"/>
      <c r="Q74" s="64">
        <v>2</v>
      </c>
      <c r="R74" s="64"/>
      <c r="S74" s="65">
        <v>2</v>
      </c>
      <c r="T74" s="65"/>
      <c r="U74" s="65">
        <v>2</v>
      </c>
      <c r="V74" s="65"/>
      <c r="W74" s="65">
        <v>2</v>
      </c>
      <c r="X74" s="66"/>
      <c r="Y74" s="64"/>
      <c r="Z74" s="65"/>
      <c r="AA74" s="65"/>
      <c r="AB74" s="65"/>
      <c r="AC74" s="65"/>
      <c r="AD74" s="65"/>
      <c r="AE74" s="66" t="s">
        <v>24</v>
      </c>
      <c r="AM74" s="11"/>
      <c r="AN74" s="11"/>
      <c r="AO74" s="11"/>
      <c r="AP74" s="11"/>
      <c r="AQ74" s="11"/>
      <c r="AR74" s="11"/>
    </row>
    <row r="75" spans="1:44" s="4" customFormat="1">
      <c r="A75" s="84"/>
      <c r="B75" s="85"/>
      <c r="C75" s="71"/>
      <c r="D75" s="72"/>
      <c r="E75" s="72">
        <f t="shared" ref="E75" si="54">SUM(G75:X75)</f>
        <v>36</v>
      </c>
      <c r="F75" s="73"/>
      <c r="G75" s="71"/>
      <c r="H75" s="71">
        <v>4</v>
      </c>
      <c r="I75" s="71"/>
      <c r="J75" s="71">
        <v>4</v>
      </c>
      <c r="K75" s="71"/>
      <c r="L75" s="71">
        <v>4</v>
      </c>
      <c r="M75" s="71"/>
      <c r="N75" s="71">
        <v>4</v>
      </c>
      <c r="O75" s="71"/>
      <c r="P75" s="71">
        <v>4</v>
      </c>
      <c r="Q75" s="71"/>
      <c r="R75" s="71">
        <v>4</v>
      </c>
      <c r="S75" s="71"/>
      <c r="T75" s="71">
        <v>4</v>
      </c>
      <c r="U75" s="71"/>
      <c r="V75" s="71">
        <v>4</v>
      </c>
      <c r="W75" s="71"/>
      <c r="X75" s="73">
        <v>4</v>
      </c>
      <c r="Y75" s="71"/>
      <c r="Z75" s="72"/>
      <c r="AA75" s="72"/>
      <c r="AB75" s="72"/>
      <c r="AC75" s="72"/>
      <c r="AD75" s="72"/>
      <c r="AE75" s="76"/>
      <c r="AM75" s="12"/>
      <c r="AN75" s="96"/>
      <c r="AO75" s="184"/>
      <c r="AP75" s="184"/>
      <c r="AQ75" s="11"/>
      <c r="AR75" s="11"/>
    </row>
    <row r="76" spans="1:44" s="4" customFormat="1" ht="19.5" thickBot="1">
      <c r="A76" s="88"/>
      <c r="B76" s="89"/>
      <c r="C76" s="79"/>
      <c r="D76" s="80"/>
      <c r="E76" s="80"/>
      <c r="F76" s="81">
        <f t="shared" ref="F76" si="55">SUM(G76:X76)</f>
        <v>0</v>
      </c>
      <c r="G76" s="79"/>
      <c r="H76" s="80"/>
      <c r="I76" s="80"/>
      <c r="J76" s="79"/>
      <c r="K76" s="79"/>
      <c r="L76" s="80"/>
      <c r="M76" s="80"/>
      <c r="N76" s="80"/>
      <c r="O76" s="80"/>
      <c r="P76" s="80"/>
      <c r="Q76" s="86"/>
      <c r="R76" s="86"/>
      <c r="S76" s="87"/>
      <c r="T76" s="87"/>
      <c r="U76" s="87"/>
      <c r="V76" s="87"/>
      <c r="W76" s="87"/>
      <c r="X76" s="92"/>
      <c r="Y76" s="86"/>
      <c r="Z76" s="87"/>
      <c r="AA76" s="87"/>
      <c r="AB76" s="87"/>
      <c r="AC76" s="87"/>
      <c r="AD76" s="87"/>
      <c r="AE76" s="81">
        <v>36</v>
      </c>
      <c r="AM76" s="12"/>
      <c r="AN76" s="96"/>
      <c r="AO76" s="184"/>
      <c r="AP76" s="184"/>
      <c r="AQ76" s="11"/>
      <c r="AR76" s="11"/>
    </row>
    <row r="77" spans="1:44" ht="19.5" thickBot="1">
      <c r="A77" s="185" t="s">
        <v>43</v>
      </c>
      <c r="B77" s="186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86"/>
      <c r="O77" s="186"/>
      <c r="P77" s="186"/>
      <c r="Q77" s="186"/>
      <c r="R77" s="186"/>
      <c r="S77" s="186"/>
      <c r="T77" s="186"/>
      <c r="U77" s="186"/>
      <c r="V77" s="186"/>
      <c r="W77" s="186"/>
      <c r="X77" s="186"/>
      <c r="Y77" s="186"/>
      <c r="Z77" s="186"/>
      <c r="AA77" s="186"/>
      <c r="AB77" s="186"/>
      <c r="AC77" s="186"/>
      <c r="AD77" s="186"/>
      <c r="AE77" s="187"/>
    </row>
    <row r="78" spans="1:44" s="4" customFormat="1" ht="37.5">
      <c r="A78" s="82">
        <v>27</v>
      </c>
      <c r="B78" s="83" t="s">
        <v>23</v>
      </c>
      <c r="C78" s="64">
        <f t="shared" ref="C78" si="56">SUM(D78:F80)</f>
        <v>54</v>
      </c>
      <c r="D78" s="65">
        <f t="shared" ref="D78" si="57">SUM(G78:X78)</f>
        <v>18</v>
      </c>
      <c r="E78" s="65"/>
      <c r="F78" s="66"/>
      <c r="G78" s="67">
        <v>2</v>
      </c>
      <c r="H78" s="68"/>
      <c r="I78" s="68">
        <v>2</v>
      </c>
      <c r="J78" s="67"/>
      <c r="K78" s="64">
        <v>2</v>
      </c>
      <c r="L78" s="65"/>
      <c r="M78" s="65">
        <v>2</v>
      </c>
      <c r="N78" s="65"/>
      <c r="O78" s="65">
        <v>2</v>
      </c>
      <c r="P78" s="65"/>
      <c r="Q78" s="64">
        <v>2</v>
      </c>
      <c r="R78" s="64"/>
      <c r="S78" s="65">
        <v>2</v>
      </c>
      <c r="T78" s="65"/>
      <c r="U78" s="65">
        <v>2</v>
      </c>
      <c r="V78" s="65"/>
      <c r="W78" s="65">
        <v>2</v>
      </c>
      <c r="X78" s="66"/>
      <c r="Y78" s="64"/>
      <c r="Z78" s="65"/>
      <c r="AA78" s="65"/>
      <c r="AB78" s="65"/>
      <c r="AC78" s="65"/>
      <c r="AD78" s="65"/>
      <c r="AE78" s="66" t="s">
        <v>24</v>
      </c>
      <c r="AM78" s="11"/>
      <c r="AN78" s="11"/>
      <c r="AO78" s="11"/>
      <c r="AP78" s="11"/>
      <c r="AQ78" s="11"/>
      <c r="AR78" s="11"/>
    </row>
    <row r="79" spans="1:44" s="4" customFormat="1">
      <c r="A79" s="84"/>
      <c r="B79" s="85"/>
      <c r="C79" s="71"/>
      <c r="D79" s="72"/>
      <c r="E79" s="72">
        <f t="shared" ref="E79" si="58">SUM(G79:X79)</f>
        <v>26</v>
      </c>
      <c r="F79" s="73"/>
      <c r="G79" s="103">
        <v>2</v>
      </c>
      <c r="H79" s="103">
        <v>2</v>
      </c>
      <c r="I79" s="103">
        <v>2</v>
      </c>
      <c r="J79" s="103">
        <v>2</v>
      </c>
      <c r="K79" s="103">
        <v>2</v>
      </c>
      <c r="L79" s="103">
        <v>2</v>
      </c>
      <c r="M79" s="103">
        <v>2</v>
      </c>
      <c r="N79" s="103">
        <v>2</v>
      </c>
      <c r="O79" s="103">
        <v>2</v>
      </c>
      <c r="P79" s="103">
        <v>2</v>
      </c>
      <c r="Q79" s="103">
        <v>2</v>
      </c>
      <c r="R79" s="103">
        <v>2</v>
      </c>
      <c r="S79" s="104">
        <v>2</v>
      </c>
      <c r="T79" s="104"/>
      <c r="U79" s="104"/>
      <c r="V79" s="104"/>
      <c r="W79" s="104"/>
      <c r="X79" s="105"/>
      <c r="Y79" s="103"/>
      <c r="Z79" s="104"/>
      <c r="AA79" s="72"/>
      <c r="AB79" s="72"/>
      <c r="AC79" s="72"/>
      <c r="AD79" s="72"/>
      <c r="AE79" s="76"/>
      <c r="AM79" s="12"/>
      <c r="AN79" s="96"/>
      <c r="AO79" s="184"/>
      <c r="AP79" s="184"/>
      <c r="AQ79" s="11"/>
      <c r="AR79" s="11"/>
    </row>
    <row r="80" spans="1:44" s="4" customFormat="1" ht="19.5" thickBot="1">
      <c r="A80" s="98"/>
      <c r="B80" s="89"/>
      <c r="C80" s="79"/>
      <c r="D80" s="80"/>
      <c r="E80" s="80"/>
      <c r="F80" s="81">
        <f t="shared" ref="F80" si="59">SUM(G80:X80)</f>
        <v>10</v>
      </c>
      <c r="G80" s="106"/>
      <c r="H80" s="107"/>
      <c r="I80" s="107"/>
      <c r="J80" s="106"/>
      <c r="K80" s="106"/>
      <c r="L80" s="107"/>
      <c r="M80" s="107"/>
      <c r="N80" s="107"/>
      <c r="O80" s="107"/>
      <c r="P80" s="107"/>
      <c r="Q80" s="108"/>
      <c r="R80" s="108"/>
      <c r="S80" s="109"/>
      <c r="T80" s="109">
        <v>2</v>
      </c>
      <c r="U80" s="109">
        <v>2</v>
      </c>
      <c r="V80" s="109">
        <v>2</v>
      </c>
      <c r="W80" s="109">
        <v>2</v>
      </c>
      <c r="X80" s="110">
        <v>2</v>
      </c>
      <c r="Y80" s="108"/>
      <c r="Z80" s="109"/>
      <c r="AA80" s="87"/>
      <c r="AB80" s="87"/>
      <c r="AC80" s="87"/>
      <c r="AD80" s="87"/>
      <c r="AE80" s="81">
        <v>36</v>
      </c>
      <c r="AM80" s="12"/>
      <c r="AN80" s="96"/>
      <c r="AO80" s="184"/>
      <c r="AP80" s="184"/>
      <c r="AQ80" s="11"/>
      <c r="AR80" s="11"/>
    </row>
    <row r="81" spans="1:44" ht="19.5" thickBot="1">
      <c r="A81" s="185" t="s">
        <v>44</v>
      </c>
      <c r="B81" s="186"/>
      <c r="C81" s="186"/>
      <c r="D81" s="186"/>
      <c r="E81" s="186"/>
      <c r="F81" s="186"/>
      <c r="G81" s="186"/>
      <c r="H81" s="186"/>
      <c r="I81" s="186"/>
      <c r="J81" s="186"/>
      <c r="K81" s="186"/>
      <c r="L81" s="186"/>
      <c r="M81" s="186"/>
      <c r="N81" s="186"/>
      <c r="O81" s="186"/>
      <c r="P81" s="186"/>
      <c r="Q81" s="186"/>
      <c r="R81" s="186"/>
      <c r="S81" s="186"/>
      <c r="T81" s="186"/>
      <c r="U81" s="186"/>
      <c r="V81" s="186"/>
      <c r="W81" s="186"/>
      <c r="X81" s="186"/>
      <c r="Y81" s="186"/>
      <c r="Z81" s="186"/>
      <c r="AA81" s="186"/>
      <c r="AB81" s="186"/>
      <c r="AC81" s="186"/>
      <c r="AD81" s="186"/>
      <c r="AE81" s="187"/>
    </row>
    <row r="82" spans="1:44" s="4" customFormat="1" ht="37.5">
      <c r="A82" s="82">
        <v>27</v>
      </c>
      <c r="B82" s="83" t="s">
        <v>23</v>
      </c>
      <c r="C82" s="64">
        <f t="shared" ref="C82" si="60">SUM(D82:F84)</f>
        <v>54</v>
      </c>
      <c r="D82" s="65">
        <f t="shared" ref="D82" si="61">SUM(G82:AD82)</f>
        <v>18</v>
      </c>
      <c r="E82" s="65"/>
      <c r="F82" s="66"/>
      <c r="G82" s="67">
        <v>2</v>
      </c>
      <c r="H82" s="68"/>
      <c r="I82" s="68">
        <v>2</v>
      </c>
      <c r="J82" s="67"/>
      <c r="K82" s="64">
        <v>2</v>
      </c>
      <c r="L82" s="65"/>
      <c r="M82" s="65">
        <v>2</v>
      </c>
      <c r="N82" s="65"/>
      <c r="O82" s="65">
        <v>2</v>
      </c>
      <c r="P82" s="65"/>
      <c r="Q82" s="64">
        <v>2</v>
      </c>
      <c r="R82" s="64"/>
      <c r="S82" s="65">
        <v>2</v>
      </c>
      <c r="T82" s="65"/>
      <c r="U82" s="65">
        <v>2</v>
      </c>
      <c r="V82" s="65"/>
      <c r="W82" s="65">
        <v>2</v>
      </c>
      <c r="X82" s="66"/>
      <c r="Y82" s="64"/>
      <c r="Z82" s="65"/>
      <c r="AA82" s="65"/>
      <c r="AB82" s="65"/>
      <c r="AC82" s="65"/>
      <c r="AD82" s="65"/>
      <c r="AE82" s="66" t="s">
        <v>24</v>
      </c>
      <c r="AM82" s="11"/>
      <c r="AN82" s="11"/>
      <c r="AO82" s="11"/>
      <c r="AP82" s="11"/>
      <c r="AQ82" s="11"/>
      <c r="AR82" s="11"/>
    </row>
    <row r="83" spans="1:44" s="4" customFormat="1">
      <c r="A83" s="84"/>
      <c r="B83" s="85"/>
      <c r="C83" s="71"/>
      <c r="D83" s="72"/>
      <c r="E83" s="72">
        <f t="shared" ref="E83" si="62">SUM(G83:AD83)</f>
        <v>26</v>
      </c>
      <c r="F83" s="73"/>
      <c r="G83" s="100">
        <v>2</v>
      </c>
      <c r="H83" s="100">
        <v>2</v>
      </c>
      <c r="I83" s="100">
        <v>2</v>
      </c>
      <c r="J83" s="100">
        <v>2</v>
      </c>
      <c r="K83" s="100">
        <v>2</v>
      </c>
      <c r="L83" s="100">
        <v>2</v>
      </c>
      <c r="M83" s="100">
        <v>2</v>
      </c>
      <c r="N83" s="100">
        <v>2</v>
      </c>
      <c r="O83" s="100">
        <v>2</v>
      </c>
      <c r="P83" s="100">
        <v>2</v>
      </c>
      <c r="Q83" s="100">
        <v>2</v>
      </c>
      <c r="R83" s="100">
        <v>2</v>
      </c>
      <c r="S83" s="100">
        <v>2</v>
      </c>
      <c r="T83" s="100"/>
      <c r="U83" s="100"/>
      <c r="V83" s="100"/>
      <c r="W83" s="72"/>
      <c r="X83" s="73"/>
      <c r="Y83" s="71"/>
      <c r="Z83" s="72"/>
      <c r="AA83" s="72"/>
      <c r="AB83" s="72"/>
      <c r="AC83" s="72"/>
      <c r="AD83" s="72"/>
      <c r="AE83" s="76"/>
      <c r="AM83" s="12"/>
      <c r="AN83" s="96"/>
      <c r="AO83" s="184"/>
      <c r="AP83" s="184"/>
      <c r="AQ83" s="11"/>
      <c r="AR83" s="11"/>
    </row>
    <row r="84" spans="1:44" s="4" customFormat="1" ht="19.5" thickBot="1">
      <c r="A84" s="84"/>
      <c r="B84" s="85"/>
      <c r="C84" s="79"/>
      <c r="D84" s="80"/>
      <c r="E84" s="80"/>
      <c r="F84" s="81">
        <f t="shared" ref="F84" si="63">SUM(G84:AD84)</f>
        <v>10</v>
      </c>
      <c r="G84" s="86"/>
      <c r="H84" s="87"/>
      <c r="I84" s="86"/>
      <c r="J84" s="87"/>
      <c r="K84" s="86"/>
      <c r="L84" s="72"/>
      <c r="M84" s="72"/>
      <c r="N84" s="72"/>
      <c r="O84" s="72"/>
      <c r="P84" s="72"/>
      <c r="Q84" s="71"/>
      <c r="R84" s="71"/>
      <c r="S84" s="72"/>
      <c r="T84" s="72">
        <v>2</v>
      </c>
      <c r="U84" s="72">
        <v>2</v>
      </c>
      <c r="V84" s="72">
        <v>2</v>
      </c>
      <c r="W84" s="72">
        <v>2</v>
      </c>
      <c r="X84" s="92">
        <v>2</v>
      </c>
      <c r="Y84" s="71"/>
      <c r="Z84" s="72"/>
      <c r="AA84" s="72"/>
      <c r="AB84" s="72"/>
      <c r="AC84" s="72"/>
      <c r="AD84" s="72"/>
      <c r="AE84" s="81">
        <v>36</v>
      </c>
      <c r="AM84" s="12"/>
      <c r="AN84" s="96"/>
      <c r="AO84" s="184"/>
      <c r="AP84" s="184"/>
      <c r="AQ84" s="11"/>
      <c r="AR84" s="11"/>
    </row>
    <row r="85" spans="1:44" s="4" customFormat="1" ht="19.5" thickBot="1">
      <c r="A85" s="185" t="s">
        <v>46</v>
      </c>
      <c r="B85" s="186"/>
      <c r="C85" s="186"/>
      <c r="D85" s="186"/>
      <c r="E85" s="186"/>
      <c r="F85" s="186"/>
      <c r="G85" s="186"/>
      <c r="H85" s="186"/>
      <c r="I85" s="186"/>
      <c r="J85" s="186"/>
      <c r="K85" s="186"/>
      <c r="L85" s="186"/>
      <c r="M85" s="186"/>
      <c r="N85" s="186"/>
      <c r="O85" s="186"/>
      <c r="P85" s="186"/>
      <c r="Q85" s="186"/>
      <c r="R85" s="186"/>
      <c r="S85" s="186"/>
      <c r="T85" s="186"/>
      <c r="U85" s="186"/>
      <c r="V85" s="186"/>
      <c r="W85" s="186"/>
      <c r="X85" s="186"/>
      <c r="Y85" s="186"/>
      <c r="Z85" s="186"/>
      <c r="AA85" s="186"/>
      <c r="AB85" s="186"/>
      <c r="AC85" s="186"/>
      <c r="AD85" s="186"/>
      <c r="AE85" s="187"/>
      <c r="AM85" s="11"/>
      <c r="AN85" s="11"/>
      <c r="AO85" s="11"/>
      <c r="AP85" s="11"/>
      <c r="AQ85" s="11"/>
      <c r="AR85" s="11"/>
    </row>
    <row r="86" spans="1:44" ht="37.5">
      <c r="A86" s="82">
        <v>27</v>
      </c>
      <c r="B86" s="83" t="s">
        <v>23</v>
      </c>
      <c r="C86" s="64">
        <f t="shared" ref="C86" si="64">SUM(D86:F88)</f>
        <v>48</v>
      </c>
      <c r="D86" s="65">
        <f t="shared" ref="D86" si="65">SUM(G86:AD86)</f>
        <v>16</v>
      </c>
      <c r="E86" s="65"/>
      <c r="F86" s="66"/>
      <c r="G86" s="67">
        <v>2</v>
      </c>
      <c r="H86" s="68"/>
      <c r="I86" s="68">
        <v>2</v>
      </c>
      <c r="J86" s="67"/>
      <c r="K86" s="64">
        <v>2</v>
      </c>
      <c r="L86" s="65"/>
      <c r="M86" s="65">
        <v>2</v>
      </c>
      <c r="N86" s="65"/>
      <c r="O86" s="65">
        <v>2</v>
      </c>
      <c r="P86" s="65"/>
      <c r="Q86" s="64">
        <v>2</v>
      </c>
      <c r="R86" s="64"/>
      <c r="S86" s="65">
        <v>2</v>
      </c>
      <c r="T86" s="65"/>
      <c r="U86" s="65">
        <v>2</v>
      </c>
      <c r="V86" s="66"/>
      <c r="W86" s="64"/>
      <c r="X86" s="65"/>
      <c r="Y86" s="65"/>
      <c r="Z86" s="65"/>
      <c r="AA86" s="65"/>
      <c r="AB86" s="65"/>
      <c r="AC86" s="65"/>
      <c r="AD86" s="65"/>
      <c r="AE86" s="66" t="s">
        <v>45</v>
      </c>
    </row>
    <row r="87" spans="1:44">
      <c r="A87" s="84"/>
      <c r="B87" s="85"/>
      <c r="C87" s="71"/>
      <c r="D87" s="72"/>
      <c r="E87" s="72">
        <f t="shared" ref="E87" si="66">SUM(G87:AD87)</f>
        <v>26</v>
      </c>
      <c r="F87" s="73"/>
      <c r="G87" s="100">
        <v>2</v>
      </c>
      <c r="H87" s="100">
        <v>2</v>
      </c>
      <c r="I87" s="100">
        <v>2</v>
      </c>
      <c r="J87" s="100">
        <v>2</v>
      </c>
      <c r="K87" s="100">
        <v>2</v>
      </c>
      <c r="L87" s="100">
        <v>2</v>
      </c>
      <c r="M87" s="100">
        <v>2</v>
      </c>
      <c r="N87" s="100">
        <v>2</v>
      </c>
      <c r="O87" s="100">
        <v>2</v>
      </c>
      <c r="P87" s="100">
        <v>2</v>
      </c>
      <c r="Q87" s="100">
        <v>2</v>
      </c>
      <c r="R87" s="100">
        <v>2</v>
      </c>
      <c r="S87" s="100">
        <v>2</v>
      </c>
      <c r="T87" s="72"/>
      <c r="U87" s="72"/>
      <c r="V87" s="73"/>
      <c r="W87" s="71"/>
      <c r="X87" s="72"/>
      <c r="Y87" s="72"/>
      <c r="Z87" s="72"/>
      <c r="AA87" s="72"/>
      <c r="AB87" s="72"/>
      <c r="AC87" s="72"/>
      <c r="AD87" s="72"/>
      <c r="AE87" s="76"/>
    </row>
    <row r="88" spans="1:44" ht="19.5" thickBot="1">
      <c r="A88" s="148"/>
      <c r="B88" s="147"/>
      <c r="C88" s="79"/>
      <c r="D88" s="80"/>
      <c r="E88" s="80"/>
      <c r="F88" s="81">
        <f t="shared" ref="F88" si="67">SUM(G88:AD88)</f>
        <v>6</v>
      </c>
      <c r="G88" s="86"/>
      <c r="H88" s="87"/>
      <c r="I88" s="86"/>
      <c r="J88" s="79"/>
      <c r="K88" s="86"/>
      <c r="L88" s="87"/>
      <c r="M88" s="87"/>
      <c r="N88" s="87"/>
      <c r="O88" s="87"/>
      <c r="P88" s="87"/>
      <c r="Q88" s="86"/>
      <c r="R88" s="86"/>
      <c r="S88" s="87"/>
      <c r="T88" s="87">
        <v>2</v>
      </c>
      <c r="U88" s="87">
        <v>2</v>
      </c>
      <c r="V88" s="92">
        <v>2</v>
      </c>
      <c r="W88" s="86"/>
      <c r="X88" s="87"/>
      <c r="Y88" s="87"/>
      <c r="Z88" s="87"/>
      <c r="AA88" s="87"/>
      <c r="AB88" s="87"/>
      <c r="AC88" s="87"/>
      <c r="AD88" s="87"/>
      <c r="AE88" s="81">
        <v>18</v>
      </c>
    </row>
    <row r="89" spans="1:44" ht="53.25" customHeight="1" thickBot="1">
      <c r="A89" s="196" t="s">
        <v>49</v>
      </c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  <c r="S89" s="196"/>
      <c r="T89" s="196"/>
      <c r="U89" s="196"/>
      <c r="V89" s="196"/>
      <c r="W89" s="196"/>
      <c r="X89" s="196"/>
      <c r="Y89" s="196"/>
      <c r="Z89" s="196"/>
      <c r="AA89" s="196"/>
      <c r="AB89" s="196"/>
      <c r="AC89" s="196"/>
      <c r="AD89" s="196"/>
      <c r="AE89" s="196"/>
    </row>
    <row r="90" spans="1:44" s="4" customFormat="1" ht="20.25" customHeight="1" thickBot="1">
      <c r="A90" s="189" t="s">
        <v>79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79"/>
      <c r="L90" s="179"/>
      <c r="M90" s="179"/>
      <c r="N90" s="179"/>
      <c r="O90" s="179"/>
      <c r="P90" s="17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</row>
    <row r="91" spans="1:44" s="4" customFormat="1" ht="37.5">
      <c r="A91" s="82">
        <v>27</v>
      </c>
      <c r="B91" s="83" t="s">
        <v>20</v>
      </c>
      <c r="C91" s="64">
        <f t="shared" ref="C91" si="68">SUM(D91:F93)</f>
        <v>48</v>
      </c>
      <c r="D91" s="65">
        <f t="shared" ref="D91" si="69">SUM(G91:AD91)</f>
        <v>24</v>
      </c>
      <c r="E91" s="65"/>
      <c r="F91" s="66"/>
      <c r="G91" s="67">
        <v>2</v>
      </c>
      <c r="H91" s="67">
        <v>2</v>
      </c>
      <c r="I91" s="67">
        <v>2</v>
      </c>
      <c r="J91" s="67">
        <v>2</v>
      </c>
      <c r="K91" s="67">
        <v>2</v>
      </c>
      <c r="L91" s="67">
        <v>2</v>
      </c>
      <c r="M91" s="67">
        <v>2</v>
      </c>
      <c r="N91" s="67">
        <v>2</v>
      </c>
      <c r="O91" s="67">
        <v>2</v>
      </c>
      <c r="P91" s="67">
        <v>2</v>
      </c>
      <c r="Q91" s="67">
        <v>2</v>
      </c>
      <c r="R91" s="67">
        <v>2</v>
      </c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6" t="s">
        <v>68</v>
      </c>
      <c r="AM91" s="11"/>
      <c r="AN91" s="11"/>
      <c r="AO91" s="11"/>
      <c r="AP91" s="11"/>
      <c r="AQ91" s="11"/>
      <c r="AR91" s="11"/>
    </row>
    <row r="92" spans="1:44" s="4" customFormat="1">
      <c r="A92" s="84"/>
      <c r="B92" s="85"/>
      <c r="C92" s="71"/>
      <c r="D92" s="72"/>
      <c r="E92" s="72">
        <f t="shared" ref="E92" si="70">SUM(G92:AD92)</f>
        <v>22</v>
      </c>
      <c r="F92" s="73"/>
      <c r="G92" s="100">
        <v>2</v>
      </c>
      <c r="H92" s="100">
        <v>2</v>
      </c>
      <c r="I92" s="100">
        <v>2</v>
      </c>
      <c r="J92" s="72">
        <v>2</v>
      </c>
      <c r="K92" s="100">
        <v>2</v>
      </c>
      <c r="L92" s="100">
        <v>2</v>
      </c>
      <c r="M92" s="100">
        <v>2</v>
      </c>
      <c r="N92" s="100">
        <v>2</v>
      </c>
      <c r="O92" s="100">
        <v>2</v>
      </c>
      <c r="P92" s="100">
        <v>2</v>
      </c>
      <c r="Q92" s="100">
        <v>2</v>
      </c>
      <c r="R92" s="100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6"/>
      <c r="AM92" s="12"/>
      <c r="AN92" s="96"/>
      <c r="AO92" s="184"/>
      <c r="AP92" s="184"/>
      <c r="AQ92" s="11"/>
      <c r="AR92" s="11"/>
    </row>
    <row r="93" spans="1:44" s="4" customFormat="1" ht="19.5" thickBot="1">
      <c r="A93" s="98"/>
      <c r="B93" s="89"/>
      <c r="C93" s="79"/>
      <c r="D93" s="80"/>
      <c r="E93" s="80"/>
      <c r="F93" s="81">
        <f t="shared" ref="F93" si="71">SUM(G93:AD93)</f>
        <v>2</v>
      </c>
      <c r="G93" s="86"/>
      <c r="H93" s="87"/>
      <c r="I93" s="86"/>
      <c r="J93" s="79"/>
      <c r="K93" s="86"/>
      <c r="L93" s="87"/>
      <c r="M93" s="87"/>
      <c r="N93" s="87"/>
      <c r="O93" s="87"/>
      <c r="P93" s="87"/>
      <c r="Q93" s="86"/>
      <c r="R93" s="86">
        <v>2</v>
      </c>
      <c r="S93" s="87"/>
      <c r="T93" s="87"/>
      <c r="U93" s="87"/>
      <c r="V93" s="87"/>
      <c r="W93" s="87"/>
      <c r="X93" s="87"/>
      <c r="Y93" s="87"/>
      <c r="Z93" s="87"/>
      <c r="AA93" s="87"/>
      <c r="AB93" s="87"/>
      <c r="AC93" s="87"/>
      <c r="AD93" s="87"/>
      <c r="AE93" s="81">
        <v>9</v>
      </c>
      <c r="AM93" s="12"/>
      <c r="AN93" s="96"/>
      <c r="AO93" s="184"/>
      <c r="AP93" s="184"/>
      <c r="AQ93" s="11"/>
      <c r="AR93" s="11"/>
    </row>
    <row r="94" spans="1:44" s="4" customFormat="1" ht="28.5" customHeight="1" thickBot="1">
      <c r="A94" s="189" t="s">
        <v>80</v>
      </c>
      <c r="B94" s="189"/>
      <c r="C94" s="189"/>
      <c r="D94" s="189"/>
      <c r="E94" s="189"/>
      <c r="F94" s="189"/>
      <c r="G94" s="189"/>
      <c r="H94" s="18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89"/>
      <c r="V94" s="189"/>
      <c r="W94" s="189"/>
      <c r="X94" s="189"/>
      <c r="Y94" s="189"/>
      <c r="Z94" s="189"/>
      <c r="AA94" s="189"/>
      <c r="AB94" s="189"/>
      <c r="AC94" s="189"/>
      <c r="AD94" s="189"/>
      <c r="AE94" s="189"/>
    </row>
    <row r="95" spans="1:44" s="4" customFormat="1" ht="37.5">
      <c r="A95" s="82">
        <v>27</v>
      </c>
      <c r="B95" s="83" t="s">
        <v>20</v>
      </c>
      <c r="C95" s="64">
        <f t="shared" ref="C95" si="72">SUM(D95:F97)</f>
        <v>48</v>
      </c>
      <c r="D95" s="65">
        <f t="shared" ref="D95" si="73">SUM(G95:AD95)</f>
        <v>24</v>
      </c>
      <c r="E95" s="65"/>
      <c r="F95" s="66"/>
      <c r="G95" s="64">
        <v>2</v>
      </c>
      <c r="H95" s="145">
        <v>2</v>
      </c>
      <c r="I95" s="175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7"/>
      <c r="U95" s="64">
        <v>2</v>
      </c>
      <c r="V95" s="65">
        <v>2</v>
      </c>
      <c r="W95" s="65">
        <v>2</v>
      </c>
      <c r="X95" s="65">
        <v>2</v>
      </c>
      <c r="Y95" s="65">
        <v>2</v>
      </c>
      <c r="Z95" s="65">
        <v>4</v>
      </c>
      <c r="AA95" s="65">
        <v>2</v>
      </c>
      <c r="AB95" s="66">
        <v>4</v>
      </c>
      <c r="AC95" s="64"/>
      <c r="AD95" s="65"/>
      <c r="AE95" s="66" t="s">
        <v>68</v>
      </c>
      <c r="AM95" s="11"/>
      <c r="AN95" s="11"/>
      <c r="AO95" s="11"/>
      <c r="AP95" s="11"/>
      <c r="AQ95" s="11"/>
      <c r="AR95" s="11"/>
    </row>
    <row r="96" spans="1:44" s="4" customFormat="1">
      <c r="A96" s="84"/>
      <c r="B96" s="85"/>
      <c r="C96" s="71"/>
      <c r="D96" s="72"/>
      <c r="E96" s="72">
        <f t="shared" ref="E96" si="74">SUM(G96:AD96)</f>
        <v>22</v>
      </c>
      <c r="F96" s="73"/>
      <c r="G96" s="71">
        <v>2</v>
      </c>
      <c r="H96" s="90">
        <v>2</v>
      </c>
      <c r="I96" s="178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80"/>
      <c r="U96" s="71">
        <v>2</v>
      </c>
      <c r="V96" s="72">
        <v>2</v>
      </c>
      <c r="W96" s="72">
        <v>2</v>
      </c>
      <c r="X96" s="72">
        <v>2</v>
      </c>
      <c r="Y96" s="72">
        <v>4</v>
      </c>
      <c r="Z96" s="72">
        <v>4</v>
      </c>
      <c r="AA96" s="72">
        <v>2</v>
      </c>
      <c r="AB96" s="73"/>
      <c r="AC96" s="71"/>
      <c r="AD96" s="72"/>
      <c r="AE96" s="76"/>
      <c r="AM96" s="12"/>
      <c r="AN96" s="96"/>
      <c r="AO96" s="184"/>
      <c r="AP96" s="184"/>
      <c r="AQ96" s="11"/>
      <c r="AR96" s="11"/>
    </row>
    <row r="97" spans="1:44" s="4" customFormat="1" ht="19.5" thickBot="1">
      <c r="A97" s="88"/>
      <c r="B97" s="89"/>
      <c r="C97" s="79"/>
      <c r="D97" s="80"/>
      <c r="E97" s="80"/>
      <c r="F97" s="81">
        <f t="shared" ref="F97" si="75">SUM(G97:AD97)</f>
        <v>2</v>
      </c>
      <c r="G97" s="79"/>
      <c r="H97" s="146"/>
      <c r="I97" s="181"/>
      <c r="J97" s="182"/>
      <c r="K97" s="182"/>
      <c r="L97" s="182"/>
      <c r="M97" s="182"/>
      <c r="N97" s="182"/>
      <c r="O97" s="182"/>
      <c r="P97" s="182"/>
      <c r="Q97" s="182"/>
      <c r="R97" s="182"/>
      <c r="S97" s="182"/>
      <c r="T97" s="183"/>
      <c r="U97" s="86"/>
      <c r="V97" s="87"/>
      <c r="W97" s="87"/>
      <c r="X97" s="87"/>
      <c r="Y97" s="87"/>
      <c r="Z97" s="87"/>
      <c r="AA97" s="87"/>
      <c r="AB97" s="92">
        <v>2</v>
      </c>
      <c r="AC97" s="86"/>
      <c r="AD97" s="87"/>
      <c r="AE97" s="81">
        <v>9</v>
      </c>
      <c r="AM97" s="12"/>
      <c r="AN97" s="96"/>
      <c r="AO97" s="184"/>
      <c r="AP97" s="184"/>
      <c r="AQ97" s="11"/>
      <c r="AR97" s="11"/>
    </row>
    <row r="98" spans="1:44" s="4" customFormat="1" ht="19.5" thickBot="1">
      <c r="A98" s="185" t="s">
        <v>47</v>
      </c>
      <c r="B98" s="186"/>
      <c r="C98" s="186"/>
      <c r="D98" s="186"/>
      <c r="E98" s="186"/>
      <c r="F98" s="186"/>
      <c r="G98" s="186"/>
      <c r="H98" s="186"/>
      <c r="I98" s="186"/>
      <c r="J98" s="186"/>
      <c r="K98" s="186"/>
      <c r="L98" s="186"/>
      <c r="M98" s="186"/>
      <c r="N98" s="186"/>
      <c r="O98" s="186"/>
      <c r="P98" s="186"/>
      <c r="Q98" s="186"/>
      <c r="R98" s="186"/>
      <c r="S98" s="186"/>
      <c r="T98" s="186"/>
      <c r="U98" s="186"/>
      <c r="V98" s="186"/>
      <c r="W98" s="186"/>
      <c r="X98" s="186"/>
      <c r="Y98" s="186"/>
      <c r="Z98" s="186"/>
      <c r="AA98" s="186"/>
      <c r="AB98" s="186"/>
      <c r="AC98" s="186"/>
      <c r="AD98" s="186"/>
      <c r="AE98" s="187"/>
      <c r="AM98" s="12"/>
      <c r="AN98" s="96"/>
      <c r="AO98" s="184"/>
      <c r="AP98" s="184"/>
      <c r="AQ98" s="11"/>
      <c r="AR98" s="11"/>
    </row>
    <row r="99" spans="1:44" s="4" customFormat="1" ht="37.5">
      <c r="A99" s="82">
        <v>27</v>
      </c>
      <c r="B99" s="83" t="s">
        <v>20</v>
      </c>
      <c r="C99" s="64">
        <f t="shared" ref="C99" si="76">SUM(D99:F101)</f>
        <v>42</v>
      </c>
      <c r="D99" s="65">
        <f t="shared" ref="D99" si="77">SUM(G99:X99)</f>
        <v>14</v>
      </c>
      <c r="E99" s="65"/>
      <c r="F99" s="66"/>
      <c r="G99" s="67">
        <v>2</v>
      </c>
      <c r="H99" s="68"/>
      <c r="I99" s="68">
        <v>2</v>
      </c>
      <c r="J99" s="67"/>
      <c r="K99" s="64">
        <v>2</v>
      </c>
      <c r="L99" s="65"/>
      <c r="M99" s="65">
        <v>2</v>
      </c>
      <c r="N99" s="65"/>
      <c r="O99" s="65">
        <v>2</v>
      </c>
      <c r="P99" s="65"/>
      <c r="Q99" s="64">
        <v>2</v>
      </c>
      <c r="R99" s="64"/>
      <c r="S99" s="65">
        <v>2</v>
      </c>
      <c r="T99" s="66"/>
      <c r="U99" s="64"/>
      <c r="V99" s="65"/>
      <c r="W99" s="65"/>
      <c r="X99" s="65"/>
      <c r="Y99" s="64"/>
      <c r="Z99" s="65"/>
      <c r="AA99" s="65"/>
      <c r="AB99" s="65"/>
      <c r="AC99" s="65"/>
      <c r="AD99" s="65"/>
      <c r="AE99" s="66" t="s">
        <v>21</v>
      </c>
      <c r="AM99" s="11"/>
      <c r="AN99" s="11"/>
      <c r="AO99" s="11"/>
      <c r="AP99" s="11"/>
      <c r="AQ99" s="11"/>
      <c r="AR99" s="11"/>
    </row>
    <row r="100" spans="1:44" s="4" customFormat="1">
      <c r="A100" s="84"/>
      <c r="B100" s="85"/>
      <c r="C100" s="71"/>
      <c r="D100" s="72"/>
      <c r="E100" s="72">
        <f t="shared" ref="E100" si="78">SUM(G100:X100)</f>
        <v>24</v>
      </c>
      <c r="F100" s="73"/>
      <c r="G100" s="71">
        <v>2</v>
      </c>
      <c r="H100" s="71">
        <v>2</v>
      </c>
      <c r="I100" s="71">
        <v>2</v>
      </c>
      <c r="J100" s="71">
        <v>2</v>
      </c>
      <c r="K100" s="71">
        <v>2</v>
      </c>
      <c r="L100" s="71">
        <v>2</v>
      </c>
      <c r="M100" s="71">
        <v>2</v>
      </c>
      <c r="N100" s="71">
        <v>2</v>
      </c>
      <c r="O100" s="71">
        <v>2</v>
      </c>
      <c r="P100" s="71">
        <v>2</v>
      </c>
      <c r="Q100" s="71">
        <v>2</v>
      </c>
      <c r="R100" s="71">
        <v>2</v>
      </c>
      <c r="S100" s="71"/>
      <c r="T100" s="73"/>
      <c r="U100" s="71"/>
      <c r="V100" s="72"/>
      <c r="W100" s="72"/>
      <c r="X100" s="72"/>
      <c r="Y100" s="71"/>
      <c r="Z100" s="72"/>
      <c r="AA100" s="72"/>
      <c r="AB100" s="72"/>
      <c r="AC100" s="72"/>
      <c r="AD100" s="72"/>
      <c r="AE100" s="76"/>
      <c r="AM100" s="12"/>
      <c r="AN100" s="96"/>
      <c r="AO100" s="184"/>
      <c r="AP100" s="184"/>
      <c r="AQ100" s="11"/>
      <c r="AR100" s="11"/>
    </row>
    <row r="101" spans="1:44" s="4" customFormat="1" ht="19.5" thickBot="1">
      <c r="A101" s="98"/>
      <c r="B101" s="89"/>
      <c r="C101" s="79"/>
      <c r="D101" s="80"/>
      <c r="E101" s="80"/>
      <c r="F101" s="81">
        <f t="shared" ref="F101" si="79">SUM(G101:X101)</f>
        <v>4</v>
      </c>
      <c r="G101" s="79"/>
      <c r="H101" s="80"/>
      <c r="I101" s="80"/>
      <c r="J101" s="79"/>
      <c r="K101" s="79"/>
      <c r="L101" s="80"/>
      <c r="M101" s="80"/>
      <c r="N101" s="80"/>
      <c r="O101" s="80"/>
      <c r="P101" s="80"/>
      <c r="Q101" s="86"/>
      <c r="R101" s="86"/>
      <c r="S101" s="87">
        <v>2</v>
      </c>
      <c r="T101" s="92">
        <v>2</v>
      </c>
      <c r="U101" s="86"/>
      <c r="V101" s="87"/>
      <c r="W101" s="87"/>
      <c r="X101" s="87"/>
      <c r="Y101" s="86"/>
      <c r="Z101" s="87"/>
      <c r="AA101" s="87"/>
      <c r="AB101" s="87"/>
      <c r="AC101" s="87"/>
      <c r="AD101" s="87"/>
      <c r="AE101" s="81">
        <v>18</v>
      </c>
      <c r="AM101" s="12"/>
      <c r="AN101" s="96"/>
      <c r="AO101" s="184"/>
      <c r="AP101" s="184"/>
      <c r="AQ101" s="11"/>
      <c r="AR101" s="11"/>
    </row>
    <row r="102" spans="1:44" ht="19.5" thickBot="1">
      <c r="A102" s="185" t="s">
        <v>48</v>
      </c>
      <c r="B102" s="186"/>
      <c r="C102" s="186"/>
      <c r="D102" s="186"/>
      <c r="E102" s="186"/>
      <c r="F102" s="186"/>
      <c r="G102" s="186"/>
      <c r="H102" s="186"/>
      <c r="I102" s="186"/>
      <c r="J102" s="186"/>
      <c r="K102" s="186"/>
      <c r="L102" s="186"/>
      <c r="M102" s="186"/>
      <c r="N102" s="186"/>
      <c r="O102" s="186"/>
      <c r="P102" s="186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7"/>
    </row>
    <row r="103" spans="1:44" ht="37.5">
      <c r="A103" s="82">
        <v>27</v>
      </c>
      <c r="B103" s="83" t="s">
        <v>23</v>
      </c>
      <c r="C103" s="64">
        <f t="shared" ref="C103" si="80">SUM(D103:F105)</f>
        <v>64</v>
      </c>
      <c r="D103" s="65">
        <f t="shared" ref="D103" si="81">SUM(G103:X103)</f>
        <v>16</v>
      </c>
      <c r="E103" s="65"/>
      <c r="F103" s="66"/>
      <c r="G103" s="67">
        <v>2</v>
      </c>
      <c r="H103" s="68"/>
      <c r="I103" s="68">
        <v>2</v>
      </c>
      <c r="J103" s="67"/>
      <c r="K103" s="64">
        <v>2</v>
      </c>
      <c r="L103" s="65"/>
      <c r="M103" s="65">
        <v>2</v>
      </c>
      <c r="N103" s="65"/>
      <c r="O103" s="65">
        <v>2</v>
      </c>
      <c r="P103" s="65"/>
      <c r="Q103" s="64">
        <v>2</v>
      </c>
      <c r="R103" s="64"/>
      <c r="S103" s="65">
        <v>2</v>
      </c>
      <c r="T103" s="65"/>
      <c r="U103" s="65">
        <v>2</v>
      </c>
      <c r="V103" s="66"/>
      <c r="W103" s="64"/>
      <c r="X103" s="65"/>
      <c r="Y103" s="64"/>
      <c r="Z103" s="65"/>
      <c r="AA103" s="65"/>
      <c r="AB103" s="65"/>
      <c r="AC103" s="65"/>
      <c r="AD103" s="65"/>
      <c r="AE103" s="66" t="s">
        <v>24</v>
      </c>
    </row>
    <row r="104" spans="1:44">
      <c r="A104" s="84"/>
      <c r="B104" s="85"/>
      <c r="C104" s="71"/>
      <c r="D104" s="72"/>
      <c r="E104" s="72">
        <f t="shared" ref="E104" si="82">SUM(G104:X104)</f>
        <v>40</v>
      </c>
      <c r="F104" s="73"/>
      <c r="G104" s="71">
        <v>2</v>
      </c>
      <c r="H104" s="72">
        <v>4</v>
      </c>
      <c r="I104" s="72">
        <v>2</v>
      </c>
      <c r="J104" s="71">
        <v>4</v>
      </c>
      <c r="K104" s="74">
        <v>2</v>
      </c>
      <c r="L104" s="75">
        <v>4</v>
      </c>
      <c r="M104" s="75">
        <v>2</v>
      </c>
      <c r="N104" s="75">
        <v>4</v>
      </c>
      <c r="O104" s="75">
        <v>2</v>
      </c>
      <c r="P104" s="75">
        <v>4</v>
      </c>
      <c r="Q104" s="71">
        <v>2</v>
      </c>
      <c r="R104" s="71">
        <v>4</v>
      </c>
      <c r="S104" s="72">
        <v>2</v>
      </c>
      <c r="T104" s="72">
        <v>2</v>
      </c>
      <c r="U104" s="72"/>
      <c r="V104" s="73"/>
      <c r="W104" s="71"/>
      <c r="X104" s="72"/>
      <c r="Y104" s="71"/>
      <c r="Z104" s="72"/>
      <c r="AA104" s="72"/>
      <c r="AB104" s="72"/>
      <c r="AC104" s="72"/>
      <c r="AD104" s="72"/>
      <c r="AE104" s="76"/>
    </row>
    <row r="105" spans="1:44" ht="19.5" thickBot="1">
      <c r="A105" s="98"/>
      <c r="B105" s="89"/>
      <c r="C105" s="79"/>
      <c r="D105" s="80"/>
      <c r="E105" s="80"/>
      <c r="F105" s="81">
        <f t="shared" ref="F105" si="83">SUM(G105:X105)</f>
        <v>8</v>
      </c>
      <c r="G105" s="79"/>
      <c r="H105" s="80"/>
      <c r="I105" s="80"/>
      <c r="J105" s="79"/>
      <c r="K105" s="79"/>
      <c r="L105" s="80"/>
      <c r="M105" s="80"/>
      <c r="N105" s="80"/>
      <c r="O105" s="80"/>
      <c r="P105" s="80"/>
      <c r="Q105" s="86"/>
      <c r="R105" s="86"/>
      <c r="S105" s="87"/>
      <c r="T105" s="87">
        <v>2</v>
      </c>
      <c r="U105" s="87">
        <v>2</v>
      </c>
      <c r="V105" s="92">
        <v>4</v>
      </c>
      <c r="W105" s="86"/>
      <c r="X105" s="87"/>
      <c r="Y105" s="86"/>
      <c r="Z105" s="87"/>
      <c r="AA105" s="87"/>
      <c r="AB105" s="87"/>
      <c r="AC105" s="87"/>
      <c r="AD105" s="87"/>
      <c r="AE105" s="81">
        <v>36</v>
      </c>
    </row>
    <row r="106" spans="1:44" ht="19.5" thickBot="1">
      <c r="A106" s="185" t="s">
        <v>55</v>
      </c>
      <c r="B106" s="186"/>
      <c r="C106" s="186"/>
      <c r="D106" s="186"/>
      <c r="E106" s="186"/>
      <c r="F106" s="186"/>
      <c r="G106" s="186"/>
      <c r="H106" s="186"/>
      <c r="I106" s="186"/>
      <c r="J106" s="186"/>
      <c r="K106" s="186"/>
      <c r="L106" s="186"/>
      <c r="M106" s="186"/>
      <c r="N106" s="186"/>
      <c r="O106" s="186"/>
      <c r="P106" s="186"/>
      <c r="Q106" s="186"/>
      <c r="R106" s="186"/>
      <c r="S106" s="186"/>
      <c r="T106" s="186"/>
      <c r="U106" s="186"/>
      <c r="V106" s="186"/>
      <c r="W106" s="186"/>
      <c r="X106" s="186"/>
      <c r="Y106" s="186"/>
      <c r="Z106" s="186"/>
      <c r="AA106" s="186"/>
      <c r="AB106" s="186"/>
      <c r="AC106" s="186"/>
      <c r="AD106" s="186"/>
      <c r="AE106" s="187"/>
    </row>
    <row r="107" spans="1:44" s="4" customFormat="1" ht="37.5">
      <c r="A107" s="82">
        <v>27</v>
      </c>
      <c r="B107" s="83" t="s">
        <v>50</v>
      </c>
      <c r="C107" s="64">
        <f>SUM(D107:F109)</f>
        <v>72</v>
      </c>
      <c r="D107" s="65">
        <f>SUM(G107:X107)</f>
        <v>36</v>
      </c>
      <c r="E107" s="65"/>
      <c r="F107" s="66"/>
      <c r="G107" s="67">
        <v>2</v>
      </c>
      <c r="H107" s="67">
        <v>2</v>
      </c>
      <c r="I107" s="67">
        <v>2</v>
      </c>
      <c r="J107" s="67">
        <v>2</v>
      </c>
      <c r="K107" s="67">
        <v>2</v>
      </c>
      <c r="L107" s="67">
        <v>2</v>
      </c>
      <c r="M107" s="67">
        <v>2</v>
      </c>
      <c r="N107" s="67">
        <v>2</v>
      </c>
      <c r="O107" s="67">
        <v>2</v>
      </c>
      <c r="P107" s="67">
        <v>2</v>
      </c>
      <c r="Q107" s="67">
        <v>2</v>
      </c>
      <c r="R107" s="67">
        <v>2</v>
      </c>
      <c r="S107" s="67">
        <v>2</v>
      </c>
      <c r="T107" s="67">
        <v>2</v>
      </c>
      <c r="U107" s="67">
        <v>2</v>
      </c>
      <c r="V107" s="67">
        <v>2</v>
      </c>
      <c r="W107" s="67">
        <v>2</v>
      </c>
      <c r="X107" s="66">
        <v>2</v>
      </c>
      <c r="Y107" s="64"/>
      <c r="Z107" s="65"/>
      <c r="AA107" s="65"/>
      <c r="AB107" s="65"/>
      <c r="AC107" s="65"/>
      <c r="AD107" s="65"/>
      <c r="AE107" s="66" t="s">
        <v>27</v>
      </c>
      <c r="AM107" s="11"/>
      <c r="AN107" s="11"/>
      <c r="AO107" s="11"/>
      <c r="AP107" s="11"/>
      <c r="AQ107" s="11"/>
      <c r="AR107" s="11"/>
    </row>
    <row r="108" spans="1:44" s="4" customFormat="1">
      <c r="A108" s="84"/>
      <c r="B108" s="85"/>
      <c r="C108" s="71"/>
      <c r="D108" s="72"/>
      <c r="E108" s="72">
        <f>SUM(G108:X108)</f>
        <v>36</v>
      </c>
      <c r="F108" s="73"/>
      <c r="G108" s="71">
        <v>2</v>
      </c>
      <c r="H108" s="71">
        <v>2</v>
      </c>
      <c r="I108" s="71">
        <v>2</v>
      </c>
      <c r="J108" s="71">
        <v>2</v>
      </c>
      <c r="K108" s="71">
        <v>2</v>
      </c>
      <c r="L108" s="71">
        <v>2</v>
      </c>
      <c r="M108" s="71">
        <v>2</v>
      </c>
      <c r="N108" s="71">
        <v>2</v>
      </c>
      <c r="O108" s="71">
        <v>2</v>
      </c>
      <c r="P108" s="71">
        <v>2</v>
      </c>
      <c r="Q108" s="71">
        <v>2</v>
      </c>
      <c r="R108" s="71">
        <v>2</v>
      </c>
      <c r="S108" s="71">
        <v>2</v>
      </c>
      <c r="T108" s="71">
        <v>2</v>
      </c>
      <c r="U108" s="71">
        <v>2</v>
      </c>
      <c r="V108" s="71">
        <v>2</v>
      </c>
      <c r="W108" s="71">
        <v>2</v>
      </c>
      <c r="X108" s="90">
        <v>2</v>
      </c>
      <c r="Y108" s="91"/>
      <c r="Z108" s="72"/>
      <c r="AA108" s="72"/>
      <c r="AB108" s="72"/>
      <c r="AC108" s="72"/>
      <c r="AD108" s="72"/>
      <c r="AE108" s="76"/>
      <c r="AM108" s="12"/>
      <c r="AN108" s="96"/>
      <c r="AO108" s="184"/>
      <c r="AP108" s="184"/>
      <c r="AQ108" s="11"/>
      <c r="AR108" s="11"/>
    </row>
    <row r="109" spans="1:44" s="4" customFormat="1" ht="19.5" thickBot="1">
      <c r="A109" s="88"/>
      <c r="B109" s="89"/>
      <c r="C109" s="79"/>
      <c r="D109" s="80"/>
      <c r="E109" s="80"/>
      <c r="F109" s="81">
        <f>SUM(G109:X109)</f>
        <v>0</v>
      </c>
      <c r="G109" s="79"/>
      <c r="H109" s="80"/>
      <c r="I109" s="80"/>
      <c r="J109" s="79"/>
      <c r="K109" s="79"/>
      <c r="L109" s="80"/>
      <c r="M109" s="80"/>
      <c r="N109" s="80"/>
      <c r="O109" s="80"/>
      <c r="P109" s="80"/>
      <c r="Q109" s="79"/>
      <c r="R109" s="79"/>
      <c r="S109" s="80"/>
      <c r="T109" s="80"/>
      <c r="U109" s="80"/>
      <c r="V109" s="80"/>
      <c r="W109" s="80"/>
      <c r="X109" s="92"/>
      <c r="Y109" s="86"/>
      <c r="Z109" s="87"/>
      <c r="AA109" s="87"/>
      <c r="AB109" s="87"/>
      <c r="AC109" s="87"/>
      <c r="AD109" s="87"/>
      <c r="AE109" s="81">
        <v>36</v>
      </c>
      <c r="AM109" s="12"/>
      <c r="AN109" s="96"/>
      <c r="AO109" s="184"/>
      <c r="AP109" s="184"/>
      <c r="AQ109" s="11"/>
      <c r="AR109" s="11"/>
    </row>
    <row r="110" spans="1:44" s="4" customFormat="1" ht="37.5">
      <c r="A110" s="82">
        <v>27</v>
      </c>
      <c r="B110" s="83" t="s">
        <v>51</v>
      </c>
      <c r="C110" s="64">
        <f>SUM(D110:F112)</f>
        <v>90</v>
      </c>
      <c r="D110" s="65">
        <f>SUM(G110:X110)</f>
        <v>36</v>
      </c>
      <c r="E110" s="65"/>
      <c r="F110" s="66"/>
      <c r="G110" s="67">
        <v>2</v>
      </c>
      <c r="H110" s="67">
        <v>2</v>
      </c>
      <c r="I110" s="67">
        <v>2</v>
      </c>
      <c r="J110" s="67">
        <v>2</v>
      </c>
      <c r="K110" s="67">
        <v>2</v>
      </c>
      <c r="L110" s="67">
        <v>2</v>
      </c>
      <c r="M110" s="67">
        <v>2</v>
      </c>
      <c r="N110" s="67">
        <v>2</v>
      </c>
      <c r="O110" s="67">
        <v>2</v>
      </c>
      <c r="P110" s="67">
        <v>2</v>
      </c>
      <c r="Q110" s="67">
        <v>2</v>
      </c>
      <c r="R110" s="67">
        <v>2</v>
      </c>
      <c r="S110" s="67">
        <v>2</v>
      </c>
      <c r="T110" s="67">
        <v>2</v>
      </c>
      <c r="U110" s="67">
        <v>2</v>
      </c>
      <c r="V110" s="67">
        <v>2</v>
      </c>
      <c r="W110" s="67">
        <v>2</v>
      </c>
      <c r="X110" s="66">
        <v>2</v>
      </c>
      <c r="Y110" s="64"/>
      <c r="Z110" s="65"/>
      <c r="AA110" s="65"/>
      <c r="AB110" s="65"/>
      <c r="AC110" s="65"/>
      <c r="AD110" s="65"/>
      <c r="AE110" s="66" t="s">
        <v>27</v>
      </c>
      <c r="AM110" s="11"/>
      <c r="AN110" s="11"/>
      <c r="AO110" s="11"/>
      <c r="AP110" s="11"/>
      <c r="AQ110" s="11"/>
      <c r="AR110" s="11"/>
    </row>
    <row r="111" spans="1:44" s="4" customFormat="1">
      <c r="A111" s="84"/>
      <c r="B111" s="85"/>
      <c r="C111" s="71"/>
      <c r="D111" s="72"/>
      <c r="E111" s="72">
        <f>SUM(G111:X111)</f>
        <v>54</v>
      </c>
      <c r="F111" s="73"/>
      <c r="G111" s="71">
        <v>2</v>
      </c>
      <c r="H111" s="71">
        <v>4</v>
      </c>
      <c r="I111" s="71">
        <v>2</v>
      </c>
      <c r="J111" s="71">
        <v>4</v>
      </c>
      <c r="K111" s="71">
        <v>2</v>
      </c>
      <c r="L111" s="71">
        <v>4</v>
      </c>
      <c r="M111" s="71">
        <v>2</v>
      </c>
      <c r="N111" s="71">
        <v>4</v>
      </c>
      <c r="O111" s="71">
        <v>2</v>
      </c>
      <c r="P111" s="71">
        <v>4</v>
      </c>
      <c r="Q111" s="71">
        <v>2</v>
      </c>
      <c r="R111" s="71">
        <v>4</v>
      </c>
      <c r="S111" s="71">
        <v>2</v>
      </c>
      <c r="T111" s="71">
        <v>4</v>
      </c>
      <c r="U111" s="71">
        <v>2</v>
      </c>
      <c r="V111" s="71">
        <v>4</v>
      </c>
      <c r="W111" s="71">
        <v>2</v>
      </c>
      <c r="X111" s="90">
        <v>4</v>
      </c>
      <c r="Y111" s="91"/>
      <c r="Z111" s="72"/>
      <c r="AA111" s="72"/>
      <c r="AB111" s="72"/>
      <c r="AC111" s="72"/>
      <c r="AD111" s="72"/>
      <c r="AE111" s="76" t="s">
        <v>52</v>
      </c>
      <c r="AM111" s="12"/>
      <c r="AN111" s="96"/>
      <c r="AO111" s="184"/>
      <c r="AP111" s="184"/>
      <c r="AQ111" s="11"/>
      <c r="AR111" s="11"/>
    </row>
    <row r="112" spans="1:44" s="4" customFormat="1" ht="19.5" thickBot="1">
      <c r="A112" s="88"/>
      <c r="B112" s="89"/>
      <c r="C112" s="79"/>
      <c r="D112" s="80"/>
      <c r="E112" s="80"/>
      <c r="F112" s="81">
        <f>SUM(G112:X112)</f>
        <v>0</v>
      </c>
      <c r="G112" s="79"/>
      <c r="H112" s="80"/>
      <c r="I112" s="80"/>
      <c r="J112" s="79"/>
      <c r="K112" s="79"/>
      <c r="L112" s="80"/>
      <c r="M112" s="80"/>
      <c r="N112" s="80"/>
      <c r="O112" s="80"/>
      <c r="P112" s="80"/>
      <c r="Q112" s="79"/>
      <c r="R112" s="79"/>
      <c r="S112" s="80"/>
      <c r="T112" s="80"/>
      <c r="U112" s="80"/>
      <c r="V112" s="80"/>
      <c r="W112" s="80"/>
      <c r="X112" s="92"/>
      <c r="Y112" s="86"/>
      <c r="Z112" s="87"/>
      <c r="AA112" s="87"/>
      <c r="AB112" s="87"/>
      <c r="AC112" s="87"/>
      <c r="AD112" s="87"/>
      <c r="AE112" s="81">
        <v>36</v>
      </c>
      <c r="AM112" s="12"/>
      <c r="AN112" s="96"/>
      <c r="AO112" s="184"/>
      <c r="AP112" s="184"/>
      <c r="AQ112" s="11"/>
      <c r="AR112" s="11"/>
    </row>
    <row r="113" spans="1:44" s="4" customFormat="1" ht="37.5">
      <c r="A113" s="82">
        <v>27</v>
      </c>
      <c r="B113" s="83" t="s">
        <v>53</v>
      </c>
      <c r="C113" s="64">
        <f>SUM(D113:F115)</f>
        <v>72</v>
      </c>
      <c r="D113" s="65">
        <f>SUM(G113:X113)</f>
        <v>36</v>
      </c>
      <c r="E113" s="65"/>
      <c r="F113" s="66"/>
      <c r="G113" s="67">
        <v>2</v>
      </c>
      <c r="H113" s="67">
        <v>2</v>
      </c>
      <c r="I113" s="67">
        <v>2</v>
      </c>
      <c r="J113" s="67">
        <v>2</v>
      </c>
      <c r="K113" s="67">
        <v>2</v>
      </c>
      <c r="L113" s="67">
        <v>2</v>
      </c>
      <c r="M113" s="67">
        <v>2</v>
      </c>
      <c r="N113" s="67">
        <v>2</v>
      </c>
      <c r="O113" s="67">
        <v>2</v>
      </c>
      <c r="P113" s="67">
        <v>2</v>
      </c>
      <c r="Q113" s="67">
        <v>2</v>
      </c>
      <c r="R113" s="67">
        <v>2</v>
      </c>
      <c r="S113" s="67">
        <v>2</v>
      </c>
      <c r="T113" s="67">
        <v>2</v>
      </c>
      <c r="U113" s="67">
        <v>2</v>
      </c>
      <c r="V113" s="67">
        <v>2</v>
      </c>
      <c r="W113" s="67">
        <v>2</v>
      </c>
      <c r="X113" s="66">
        <v>2</v>
      </c>
      <c r="Y113" s="64"/>
      <c r="Z113" s="65"/>
      <c r="AA113" s="65"/>
      <c r="AB113" s="65"/>
      <c r="AC113" s="65"/>
      <c r="AD113" s="65"/>
      <c r="AE113" s="66" t="s">
        <v>27</v>
      </c>
      <c r="AM113" s="11"/>
      <c r="AN113" s="11"/>
      <c r="AO113" s="11"/>
      <c r="AP113" s="11"/>
      <c r="AQ113" s="11"/>
      <c r="AR113" s="11"/>
    </row>
    <row r="114" spans="1:44" s="4" customFormat="1">
      <c r="A114" s="84"/>
      <c r="B114" s="85"/>
      <c r="C114" s="71"/>
      <c r="D114" s="72"/>
      <c r="E114" s="72">
        <f>SUM(G114:X114)</f>
        <v>36</v>
      </c>
      <c r="F114" s="73"/>
      <c r="G114" s="71">
        <v>2</v>
      </c>
      <c r="H114" s="71">
        <v>2</v>
      </c>
      <c r="I114" s="71">
        <v>2</v>
      </c>
      <c r="J114" s="71">
        <v>2</v>
      </c>
      <c r="K114" s="71">
        <v>2</v>
      </c>
      <c r="L114" s="71">
        <v>2</v>
      </c>
      <c r="M114" s="71">
        <v>2</v>
      </c>
      <c r="N114" s="71">
        <v>2</v>
      </c>
      <c r="O114" s="71">
        <v>2</v>
      </c>
      <c r="P114" s="71">
        <v>2</v>
      </c>
      <c r="Q114" s="71">
        <v>2</v>
      </c>
      <c r="R114" s="71">
        <v>2</v>
      </c>
      <c r="S114" s="71">
        <v>2</v>
      </c>
      <c r="T114" s="71">
        <v>2</v>
      </c>
      <c r="U114" s="71">
        <v>2</v>
      </c>
      <c r="V114" s="71">
        <v>2</v>
      </c>
      <c r="W114" s="71">
        <v>2</v>
      </c>
      <c r="X114" s="90">
        <v>2</v>
      </c>
      <c r="Y114" s="91"/>
      <c r="Z114" s="72"/>
      <c r="AA114" s="72"/>
      <c r="AB114" s="72"/>
      <c r="AC114" s="72"/>
      <c r="AD114" s="72"/>
      <c r="AE114" s="76" t="s">
        <v>52</v>
      </c>
      <c r="AM114" s="12"/>
      <c r="AN114" s="96"/>
      <c r="AO114" s="184"/>
      <c r="AP114" s="184"/>
      <c r="AQ114" s="11"/>
      <c r="AR114" s="11"/>
    </row>
    <row r="115" spans="1:44" s="4" customFormat="1" ht="19.5" thickBot="1">
      <c r="A115" s="88"/>
      <c r="B115" s="89"/>
      <c r="C115" s="79"/>
      <c r="D115" s="80"/>
      <c r="E115" s="80"/>
      <c r="F115" s="81">
        <f>SUM(G115:X115)</f>
        <v>0</v>
      </c>
      <c r="G115" s="79"/>
      <c r="H115" s="80"/>
      <c r="I115" s="80"/>
      <c r="J115" s="79"/>
      <c r="K115" s="79"/>
      <c r="L115" s="80"/>
      <c r="M115" s="80"/>
      <c r="N115" s="80"/>
      <c r="O115" s="80"/>
      <c r="P115" s="80"/>
      <c r="Q115" s="79"/>
      <c r="R115" s="79"/>
      <c r="S115" s="80"/>
      <c r="T115" s="80"/>
      <c r="U115" s="80"/>
      <c r="V115" s="80"/>
      <c r="W115" s="80"/>
      <c r="X115" s="92"/>
      <c r="Y115" s="86"/>
      <c r="Z115" s="87"/>
      <c r="AA115" s="87"/>
      <c r="AB115" s="87"/>
      <c r="AC115" s="87"/>
      <c r="AD115" s="87"/>
      <c r="AE115" s="81">
        <v>36</v>
      </c>
      <c r="AM115" s="12"/>
      <c r="AN115" s="96"/>
      <c r="AO115" s="184"/>
      <c r="AP115" s="184"/>
      <c r="AQ115" s="11"/>
      <c r="AR115" s="11"/>
    </row>
    <row r="116" spans="1:44" s="4" customFormat="1" ht="37.5">
      <c r="A116" s="82">
        <v>27</v>
      </c>
      <c r="B116" s="83" t="s">
        <v>35</v>
      </c>
      <c r="C116" s="64">
        <f t="shared" ref="C116" si="84">SUM(D116:F118)</f>
        <v>90</v>
      </c>
      <c r="D116" s="65">
        <f t="shared" ref="D116" si="85">SUM(G116:X116)</f>
        <v>36</v>
      </c>
      <c r="E116" s="65"/>
      <c r="F116" s="66"/>
      <c r="G116" s="67">
        <v>2</v>
      </c>
      <c r="H116" s="67">
        <v>2</v>
      </c>
      <c r="I116" s="67">
        <v>2</v>
      </c>
      <c r="J116" s="67">
        <v>2</v>
      </c>
      <c r="K116" s="67">
        <v>2</v>
      </c>
      <c r="L116" s="67">
        <v>2</v>
      </c>
      <c r="M116" s="67">
        <v>2</v>
      </c>
      <c r="N116" s="67">
        <v>2</v>
      </c>
      <c r="O116" s="67">
        <v>2</v>
      </c>
      <c r="P116" s="67">
        <v>2</v>
      </c>
      <c r="Q116" s="67">
        <v>2</v>
      </c>
      <c r="R116" s="67">
        <v>2</v>
      </c>
      <c r="S116" s="67">
        <v>2</v>
      </c>
      <c r="T116" s="67">
        <v>2</v>
      </c>
      <c r="U116" s="67">
        <v>2</v>
      </c>
      <c r="V116" s="67">
        <v>2</v>
      </c>
      <c r="W116" s="67">
        <v>2</v>
      </c>
      <c r="X116" s="66">
        <v>2</v>
      </c>
      <c r="Y116" s="64"/>
      <c r="Z116" s="65"/>
      <c r="AA116" s="65"/>
      <c r="AB116" s="65"/>
      <c r="AC116" s="65"/>
      <c r="AD116" s="65"/>
      <c r="AE116" s="66" t="s">
        <v>27</v>
      </c>
      <c r="AM116" s="11"/>
      <c r="AN116" s="11"/>
      <c r="AO116" s="11"/>
      <c r="AP116" s="11"/>
      <c r="AQ116" s="11"/>
      <c r="AR116" s="11"/>
    </row>
    <row r="117" spans="1:44" s="4" customFormat="1">
      <c r="A117" s="84"/>
      <c r="B117" s="85"/>
      <c r="C117" s="71"/>
      <c r="D117" s="72"/>
      <c r="E117" s="72">
        <f t="shared" ref="E117" si="86">SUM(G117:X117)</f>
        <v>54</v>
      </c>
      <c r="F117" s="73"/>
      <c r="G117" s="71">
        <v>2</v>
      </c>
      <c r="H117" s="71">
        <v>4</v>
      </c>
      <c r="I117" s="71">
        <v>2</v>
      </c>
      <c r="J117" s="71">
        <v>4</v>
      </c>
      <c r="K117" s="71">
        <v>2</v>
      </c>
      <c r="L117" s="71">
        <v>4</v>
      </c>
      <c r="M117" s="71">
        <v>2</v>
      </c>
      <c r="N117" s="71">
        <v>4</v>
      </c>
      <c r="O117" s="71">
        <v>2</v>
      </c>
      <c r="P117" s="71">
        <v>4</v>
      </c>
      <c r="Q117" s="71">
        <v>2</v>
      </c>
      <c r="R117" s="71">
        <v>4</v>
      </c>
      <c r="S117" s="71">
        <v>2</v>
      </c>
      <c r="T117" s="71">
        <v>4</v>
      </c>
      <c r="U117" s="71">
        <v>2</v>
      </c>
      <c r="V117" s="71">
        <v>4</v>
      </c>
      <c r="W117" s="71">
        <v>2</v>
      </c>
      <c r="X117" s="90">
        <v>4</v>
      </c>
      <c r="Y117" s="91"/>
      <c r="Z117" s="72"/>
      <c r="AA117" s="72"/>
      <c r="AB117" s="72"/>
      <c r="AC117" s="72"/>
      <c r="AD117" s="72"/>
      <c r="AE117" s="76" t="s">
        <v>52</v>
      </c>
      <c r="AM117" s="12"/>
      <c r="AN117" s="96"/>
      <c r="AO117" s="184"/>
      <c r="AP117" s="184"/>
      <c r="AQ117" s="11"/>
      <c r="AR117" s="11"/>
    </row>
    <row r="118" spans="1:44" s="4" customFormat="1" ht="19.5" thickBot="1">
      <c r="A118" s="88"/>
      <c r="B118" s="89"/>
      <c r="C118" s="79"/>
      <c r="D118" s="80"/>
      <c r="E118" s="80"/>
      <c r="F118" s="81">
        <f t="shared" ref="F118" si="87">SUM(G118:X118)</f>
        <v>0</v>
      </c>
      <c r="G118" s="79"/>
      <c r="H118" s="80"/>
      <c r="I118" s="80"/>
      <c r="J118" s="79"/>
      <c r="K118" s="79"/>
      <c r="L118" s="80"/>
      <c r="M118" s="80"/>
      <c r="N118" s="80"/>
      <c r="O118" s="80"/>
      <c r="P118" s="80"/>
      <c r="Q118" s="79"/>
      <c r="R118" s="79"/>
      <c r="S118" s="80"/>
      <c r="T118" s="80"/>
      <c r="U118" s="80"/>
      <c r="V118" s="80"/>
      <c r="W118" s="80"/>
      <c r="X118" s="92"/>
      <c r="Y118" s="86"/>
      <c r="Z118" s="87"/>
      <c r="AA118" s="87"/>
      <c r="AB118" s="87"/>
      <c r="AC118" s="87"/>
      <c r="AD118" s="87"/>
      <c r="AE118" s="81">
        <v>36</v>
      </c>
      <c r="AM118" s="12"/>
      <c r="AN118" s="96"/>
      <c r="AO118" s="184"/>
      <c r="AP118" s="184"/>
      <c r="AQ118" s="11"/>
      <c r="AR118" s="11"/>
    </row>
    <row r="119" spans="1:44" s="4" customFormat="1" ht="56.25">
      <c r="A119" s="82">
        <v>27</v>
      </c>
      <c r="B119" s="83" t="s">
        <v>54</v>
      </c>
      <c r="C119" s="64">
        <f t="shared" ref="C119" si="88">SUM(D119:F121)</f>
        <v>36</v>
      </c>
      <c r="D119" s="65">
        <f t="shared" ref="D119" si="89">SUM(G119:X119)</f>
        <v>18</v>
      </c>
      <c r="E119" s="65"/>
      <c r="F119" s="66"/>
      <c r="G119" s="67">
        <v>2</v>
      </c>
      <c r="H119" s="68"/>
      <c r="I119" s="68">
        <v>2</v>
      </c>
      <c r="J119" s="67"/>
      <c r="K119" s="64">
        <v>2</v>
      </c>
      <c r="L119" s="65"/>
      <c r="M119" s="65">
        <v>2</v>
      </c>
      <c r="N119" s="65"/>
      <c r="O119" s="65">
        <v>2</v>
      </c>
      <c r="P119" s="65"/>
      <c r="Q119" s="64">
        <v>2</v>
      </c>
      <c r="R119" s="64"/>
      <c r="S119" s="65">
        <v>2</v>
      </c>
      <c r="T119" s="65"/>
      <c r="U119" s="65">
        <v>2</v>
      </c>
      <c r="V119" s="65"/>
      <c r="W119" s="65">
        <v>2</v>
      </c>
      <c r="X119" s="66"/>
      <c r="Y119" s="64"/>
      <c r="Z119" s="65"/>
      <c r="AA119" s="65"/>
      <c r="AB119" s="65"/>
      <c r="AC119" s="65"/>
      <c r="AD119" s="65"/>
      <c r="AE119" s="66" t="s">
        <v>21</v>
      </c>
      <c r="AM119" s="11"/>
      <c r="AN119" s="11"/>
      <c r="AO119" s="11"/>
      <c r="AP119" s="11"/>
      <c r="AQ119" s="11"/>
      <c r="AR119" s="11"/>
    </row>
    <row r="120" spans="1:44" s="4" customFormat="1">
      <c r="A120" s="84"/>
      <c r="B120" s="85"/>
      <c r="C120" s="71"/>
      <c r="D120" s="72"/>
      <c r="E120" s="72">
        <f t="shared" ref="E120" si="90">SUM(G120:X120)</f>
        <v>18</v>
      </c>
      <c r="F120" s="73"/>
      <c r="G120" s="71"/>
      <c r="H120" s="72">
        <v>2</v>
      </c>
      <c r="I120" s="72"/>
      <c r="J120" s="71">
        <v>2</v>
      </c>
      <c r="K120" s="74"/>
      <c r="L120" s="75">
        <v>2</v>
      </c>
      <c r="M120" s="75"/>
      <c r="N120" s="75">
        <v>2</v>
      </c>
      <c r="O120" s="75"/>
      <c r="P120" s="75">
        <v>2</v>
      </c>
      <c r="Q120" s="71"/>
      <c r="R120" s="71">
        <v>2</v>
      </c>
      <c r="S120" s="72"/>
      <c r="T120" s="72">
        <v>2</v>
      </c>
      <c r="U120" s="72"/>
      <c r="V120" s="72">
        <v>2</v>
      </c>
      <c r="W120" s="72"/>
      <c r="X120" s="73">
        <v>2</v>
      </c>
      <c r="Y120" s="71"/>
      <c r="Z120" s="72"/>
      <c r="AA120" s="72"/>
      <c r="AB120" s="72"/>
      <c r="AC120" s="72"/>
      <c r="AD120" s="72"/>
      <c r="AE120" s="76"/>
      <c r="AM120" s="12"/>
      <c r="AN120" s="96"/>
      <c r="AO120" s="184"/>
      <c r="AP120" s="184"/>
      <c r="AQ120" s="11"/>
      <c r="AR120" s="11"/>
    </row>
    <row r="121" spans="1:44" s="4" customFormat="1" ht="19.5" thickBot="1">
      <c r="A121" s="88"/>
      <c r="B121" s="89"/>
      <c r="C121" s="79"/>
      <c r="D121" s="80"/>
      <c r="E121" s="80"/>
      <c r="F121" s="81">
        <f t="shared" ref="F121" si="91">SUM(G121:X121)</f>
        <v>0</v>
      </c>
      <c r="G121" s="79"/>
      <c r="H121" s="80"/>
      <c r="I121" s="80"/>
      <c r="J121" s="79"/>
      <c r="K121" s="79"/>
      <c r="L121" s="80"/>
      <c r="M121" s="80"/>
      <c r="N121" s="80"/>
      <c r="O121" s="80"/>
      <c r="P121" s="80"/>
      <c r="Q121" s="86"/>
      <c r="R121" s="86"/>
      <c r="S121" s="87"/>
      <c r="T121" s="87"/>
      <c r="U121" s="87"/>
      <c r="V121" s="87"/>
      <c r="W121" s="87"/>
      <c r="X121" s="92"/>
      <c r="Y121" s="86"/>
      <c r="Z121" s="87"/>
      <c r="AA121" s="87"/>
      <c r="AB121" s="87"/>
      <c r="AC121" s="87"/>
      <c r="AD121" s="87"/>
      <c r="AE121" s="81">
        <v>18</v>
      </c>
      <c r="AM121" s="12"/>
      <c r="AN121" s="96"/>
      <c r="AO121" s="184"/>
      <c r="AP121" s="184"/>
      <c r="AQ121" s="11"/>
      <c r="AR121" s="11"/>
    </row>
    <row r="122" spans="1:44" s="4" customFormat="1" ht="56.25">
      <c r="A122" s="82">
        <v>27</v>
      </c>
      <c r="B122" s="83" t="s">
        <v>31</v>
      </c>
      <c r="C122" s="64">
        <f t="shared" ref="C122" si="92">SUM(D122:F124)</f>
        <v>18</v>
      </c>
      <c r="D122" s="65">
        <f t="shared" ref="D122" si="93">SUM(G122:X122)</f>
        <v>0</v>
      </c>
      <c r="E122" s="65"/>
      <c r="F122" s="66"/>
      <c r="G122" s="67"/>
      <c r="H122" s="68"/>
      <c r="I122" s="68"/>
      <c r="J122" s="67"/>
      <c r="K122" s="64"/>
      <c r="L122" s="65"/>
      <c r="M122" s="65"/>
      <c r="N122" s="65"/>
      <c r="O122" s="65"/>
      <c r="P122" s="65"/>
      <c r="Q122" s="64"/>
      <c r="R122" s="64"/>
      <c r="S122" s="65"/>
      <c r="T122" s="65"/>
      <c r="U122" s="65"/>
      <c r="V122" s="65"/>
      <c r="W122" s="65"/>
      <c r="X122" s="66"/>
      <c r="Y122" s="64"/>
      <c r="Z122" s="65"/>
      <c r="AA122" s="65"/>
      <c r="AB122" s="65"/>
      <c r="AC122" s="65"/>
      <c r="AD122" s="65"/>
      <c r="AE122" s="66" t="s">
        <v>21</v>
      </c>
      <c r="AM122" s="11"/>
      <c r="AN122" s="11"/>
      <c r="AO122" s="11"/>
      <c r="AP122" s="11"/>
      <c r="AQ122" s="11"/>
      <c r="AR122" s="11"/>
    </row>
    <row r="123" spans="1:44" s="4" customFormat="1" ht="19.5">
      <c r="A123" s="84"/>
      <c r="B123" s="99" t="s">
        <v>32</v>
      </c>
      <c r="C123" s="71"/>
      <c r="D123" s="72"/>
      <c r="E123" s="72">
        <f t="shared" ref="E123" si="94">SUM(G123:X123)</f>
        <v>18</v>
      </c>
      <c r="F123" s="73"/>
      <c r="G123" s="71">
        <v>2</v>
      </c>
      <c r="H123" s="72"/>
      <c r="I123" s="72">
        <v>2</v>
      </c>
      <c r="J123" s="71"/>
      <c r="K123" s="74">
        <v>2</v>
      </c>
      <c r="L123" s="75"/>
      <c r="M123" s="75">
        <v>2</v>
      </c>
      <c r="N123" s="75"/>
      <c r="O123" s="75">
        <v>2</v>
      </c>
      <c r="P123" s="75"/>
      <c r="Q123" s="71">
        <v>2</v>
      </c>
      <c r="R123" s="71"/>
      <c r="S123" s="72">
        <v>2</v>
      </c>
      <c r="T123" s="72"/>
      <c r="U123" s="72">
        <v>2</v>
      </c>
      <c r="V123" s="72"/>
      <c r="W123" s="72">
        <v>2</v>
      </c>
      <c r="X123" s="73"/>
      <c r="Y123" s="71"/>
      <c r="Z123" s="72"/>
      <c r="AA123" s="72"/>
      <c r="AB123" s="72"/>
      <c r="AC123" s="72"/>
      <c r="AD123" s="72"/>
      <c r="AE123" s="76"/>
      <c r="AM123" s="12"/>
      <c r="AN123" s="96"/>
      <c r="AO123" s="184"/>
      <c r="AP123" s="184"/>
      <c r="AQ123" s="11"/>
      <c r="AR123" s="11"/>
    </row>
    <row r="124" spans="1:44" s="4" customFormat="1" ht="19.5" thickBot="1">
      <c r="A124" s="98"/>
      <c r="B124" s="89"/>
      <c r="C124" s="79"/>
      <c r="D124" s="80"/>
      <c r="E124" s="80"/>
      <c r="F124" s="81">
        <f t="shared" ref="F124" si="95">SUM(G124:X124)</f>
        <v>0</v>
      </c>
      <c r="G124" s="79"/>
      <c r="H124" s="80"/>
      <c r="I124" s="80"/>
      <c r="J124" s="79"/>
      <c r="K124" s="79"/>
      <c r="L124" s="80"/>
      <c r="M124" s="80"/>
      <c r="N124" s="80"/>
      <c r="O124" s="80"/>
      <c r="P124" s="80"/>
      <c r="Q124" s="86"/>
      <c r="R124" s="86"/>
      <c r="S124" s="87"/>
      <c r="T124" s="87"/>
      <c r="U124" s="87"/>
      <c r="V124" s="87"/>
      <c r="W124" s="87"/>
      <c r="X124" s="92"/>
      <c r="Y124" s="86"/>
      <c r="Z124" s="87"/>
      <c r="AA124" s="87"/>
      <c r="AB124" s="87"/>
      <c r="AC124" s="87"/>
      <c r="AD124" s="87"/>
      <c r="AE124" s="81">
        <v>9</v>
      </c>
      <c r="AM124" s="12"/>
      <c r="AN124" s="96"/>
      <c r="AO124" s="184"/>
      <c r="AP124" s="184"/>
      <c r="AQ124" s="11"/>
      <c r="AR124" s="11"/>
    </row>
    <row r="125" spans="1:44" ht="19.5" thickBot="1">
      <c r="A125" s="185" t="s">
        <v>59</v>
      </c>
      <c r="B125" s="186"/>
      <c r="C125" s="186"/>
      <c r="D125" s="186"/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  <c r="P125" s="186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  <c r="AD125" s="186"/>
      <c r="AE125" s="187"/>
    </row>
    <row r="126" spans="1:44" s="4" customFormat="1" ht="37.5">
      <c r="A126" s="82">
        <v>27</v>
      </c>
      <c r="B126" s="83" t="s">
        <v>23</v>
      </c>
      <c r="C126" s="64">
        <f t="shared" ref="C126" si="96">SUM(D126:F128)</f>
        <v>42</v>
      </c>
      <c r="D126" s="65">
        <f t="shared" ref="D126" si="97">SUM(G126:X126)</f>
        <v>14</v>
      </c>
      <c r="E126" s="65"/>
      <c r="F126" s="66"/>
      <c r="G126" s="67">
        <v>2</v>
      </c>
      <c r="H126" s="68"/>
      <c r="I126" s="68">
        <v>2</v>
      </c>
      <c r="J126" s="67"/>
      <c r="K126" s="64">
        <v>2</v>
      </c>
      <c r="L126" s="65"/>
      <c r="M126" s="65">
        <v>2</v>
      </c>
      <c r="N126" s="65"/>
      <c r="O126" s="65">
        <v>2</v>
      </c>
      <c r="P126" s="65"/>
      <c r="Q126" s="64">
        <v>2</v>
      </c>
      <c r="R126" s="64"/>
      <c r="S126" s="65">
        <v>2</v>
      </c>
      <c r="T126" s="66"/>
      <c r="U126" s="64"/>
      <c r="V126" s="65"/>
      <c r="W126" s="65"/>
      <c r="X126" s="65"/>
      <c r="Y126" s="64"/>
      <c r="Z126" s="65"/>
      <c r="AA126" s="65"/>
      <c r="AB126" s="65"/>
      <c r="AC126" s="65"/>
      <c r="AD126" s="65"/>
      <c r="AE126" s="66" t="s">
        <v>27</v>
      </c>
      <c r="AM126" s="11"/>
      <c r="AN126" s="11"/>
      <c r="AO126" s="11"/>
      <c r="AP126" s="11"/>
      <c r="AQ126" s="11"/>
      <c r="AR126" s="11"/>
    </row>
    <row r="127" spans="1:44" s="4" customFormat="1">
      <c r="A127" s="84"/>
      <c r="B127" s="85"/>
      <c r="C127" s="71"/>
      <c r="D127" s="72"/>
      <c r="E127" s="72">
        <f t="shared" ref="E127" si="98">SUM(G127:X127)</f>
        <v>14</v>
      </c>
      <c r="F127" s="73"/>
      <c r="G127" s="71">
        <v>2</v>
      </c>
      <c r="H127" s="71">
        <v>2</v>
      </c>
      <c r="I127" s="71">
        <v>2</v>
      </c>
      <c r="J127" s="71">
        <v>2</v>
      </c>
      <c r="K127" s="71">
        <v>2</v>
      </c>
      <c r="L127" s="71">
        <v>2</v>
      </c>
      <c r="M127" s="71">
        <v>2</v>
      </c>
      <c r="N127" s="71"/>
      <c r="O127" s="71"/>
      <c r="P127" s="71"/>
      <c r="Q127" s="71"/>
      <c r="R127" s="71"/>
      <c r="S127" s="71"/>
      <c r="T127" s="73"/>
      <c r="U127" s="71"/>
      <c r="V127" s="71"/>
      <c r="W127" s="71"/>
      <c r="X127" s="72"/>
      <c r="Y127" s="71"/>
      <c r="Z127" s="72"/>
      <c r="AA127" s="72"/>
      <c r="AB127" s="72"/>
      <c r="AC127" s="72"/>
      <c r="AD127" s="72"/>
      <c r="AE127" s="76"/>
      <c r="AM127" s="12"/>
      <c r="AN127" s="96"/>
      <c r="AO127" s="184"/>
      <c r="AP127" s="184"/>
      <c r="AQ127" s="11"/>
      <c r="AR127" s="11"/>
    </row>
    <row r="128" spans="1:44" s="4" customFormat="1" ht="19.5" thickBot="1">
      <c r="A128" s="88"/>
      <c r="B128" s="89"/>
      <c r="C128" s="79"/>
      <c r="D128" s="80"/>
      <c r="E128" s="80"/>
      <c r="F128" s="81">
        <f t="shared" ref="F128" si="99">SUM(G128:X128)</f>
        <v>14</v>
      </c>
      <c r="G128" s="79"/>
      <c r="H128" s="80"/>
      <c r="I128" s="80"/>
      <c r="J128" s="79"/>
      <c r="K128" s="79"/>
      <c r="L128" s="80"/>
      <c r="M128" s="80"/>
      <c r="N128" s="80">
        <v>2</v>
      </c>
      <c r="O128" s="80">
        <v>2</v>
      </c>
      <c r="P128" s="80">
        <v>2</v>
      </c>
      <c r="Q128" s="80">
        <v>2</v>
      </c>
      <c r="R128" s="80">
        <v>2</v>
      </c>
      <c r="S128" s="80">
        <v>2</v>
      </c>
      <c r="T128" s="81">
        <v>2</v>
      </c>
      <c r="U128" s="79"/>
      <c r="V128" s="80"/>
      <c r="W128" s="80"/>
      <c r="X128" s="87"/>
      <c r="Y128" s="86"/>
      <c r="Z128" s="87"/>
      <c r="AA128" s="87"/>
      <c r="AB128" s="87"/>
      <c r="AC128" s="87"/>
      <c r="AD128" s="87"/>
      <c r="AE128" s="81">
        <v>36</v>
      </c>
      <c r="AM128" s="12"/>
      <c r="AN128" s="96"/>
      <c r="AO128" s="184"/>
      <c r="AP128" s="184"/>
      <c r="AQ128" s="11"/>
      <c r="AR128" s="11"/>
    </row>
    <row r="129" spans="1:44" s="4" customFormat="1" ht="75">
      <c r="A129" s="82">
        <v>27</v>
      </c>
      <c r="B129" s="83" t="s">
        <v>56</v>
      </c>
      <c r="C129" s="64">
        <f t="shared" ref="C129" si="100">SUM(D129:F131)</f>
        <v>42</v>
      </c>
      <c r="D129" s="65">
        <f t="shared" ref="D129" si="101">SUM(G129:X129)</f>
        <v>14</v>
      </c>
      <c r="E129" s="65"/>
      <c r="F129" s="66"/>
      <c r="G129" s="67">
        <v>2</v>
      </c>
      <c r="H129" s="68"/>
      <c r="I129" s="68">
        <v>2</v>
      </c>
      <c r="J129" s="67"/>
      <c r="K129" s="64">
        <v>2</v>
      </c>
      <c r="L129" s="65"/>
      <c r="M129" s="65">
        <v>2</v>
      </c>
      <c r="N129" s="65"/>
      <c r="O129" s="65">
        <v>2</v>
      </c>
      <c r="P129" s="65"/>
      <c r="Q129" s="64">
        <v>2</v>
      </c>
      <c r="R129" s="64"/>
      <c r="S129" s="65">
        <v>2</v>
      </c>
      <c r="T129" s="66"/>
      <c r="U129" s="64"/>
      <c r="V129" s="65"/>
      <c r="W129" s="65"/>
      <c r="X129" s="65"/>
      <c r="Y129" s="64"/>
      <c r="Z129" s="65"/>
      <c r="AA129" s="65"/>
      <c r="AB129" s="65"/>
      <c r="AC129" s="65"/>
      <c r="AD129" s="65"/>
      <c r="AE129" s="66" t="s">
        <v>57</v>
      </c>
      <c r="AM129" s="11"/>
      <c r="AN129" s="11"/>
      <c r="AO129" s="11"/>
      <c r="AP129" s="11"/>
      <c r="AQ129" s="11"/>
      <c r="AR129" s="11"/>
    </row>
    <row r="130" spans="1:44" s="4" customFormat="1">
      <c r="A130" s="84"/>
      <c r="B130" s="85"/>
      <c r="C130" s="71"/>
      <c r="D130" s="72"/>
      <c r="E130" s="72">
        <f t="shared" ref="E130" si="102">SUM(G130:X130)</f>
        <v>28</v>
      </c>
      <c r="F130" s="73"/>
      <c r="G130" s="71">
        <v>2</v>
      </c>
      <c r="H130" s="71">
        <v>2</v>
      </c>
      <c r="I130" s="71">
        <v>2</v>
      </c>
      <c r="J130" s="71">
        <v>2</v>
      </c>
      <c r="K130" s="71">
        <v>2</v>
      </c>
      <c r="L130" s="71">
        <v>2</v>
      </c>
      <c r="M130" s="71">
        <v>2</v>
      </c>
      <c r="N130" s="71">
        <v>2</v>
      </c>
      <c r="O130" s="71">
        <v>2</v>
      </c>
      <c r="P130" s="71">
        <v>2</v>
      </c>
      <c r="Q130" s="71">
        <v>2</v>
      </c>
      <c r="R130" s="71">
        <v>2</v>
      </c>
      <c r="S130" s="71">
        <v>2</v>
      </c>
      <c r="T130" s="73">
        <v>2</v>
      </c>
      <c r="U130" s="71"/>
      <c r="V130" s="72"/>
      <c r="W130" s="72"/>
      <c r="X130" s="72"/>
      <c r="Y130" s="71"/>
      <c r="Z130" s="72"/>
      <c r="AA130" s="72"/>
      <c r="AB130" s="72"/>
      <c r="AC130" s="72"/>
      <c r="AD130" s="72"/>
      <c r="AE130" s="76"/>
      <c r="AM130" s="12"/>
      <c r="AN130" s="96"/>
      <c r="AO130" s="184"/>
      <c r="AP130" s="184"/>
      <c r="AQ130" s="11"/>
      <c r="AR130" s="11"/>
    </row>
    <row r="131" spans="1:44" s="4" customFormat="1" ht="19.5" thickBot="1">
      <c r="A131" s="88"/>
      <c r="B131" s="89"/>
      <c r="C131" s="79"/>
      <c r="D131" s="80"/>
      <c r="E131" s="80"/>
      <c r="F131" s="81">
        <f t="shared" ref="F131" si="103">SUM(G131:X131)</f>
        <v>0</v>
      </c>
      <c r="G131" s="79"/>
      <c r="H131" s="80"/>
      <c r="I131" s="80"/>
      <c r="J131" s="79"/>
      <c r="K131" s="79"/>
      <c r="L131" s="80"/>
      <c r="M131" s="80"/>
      <c r="N131" s="80"/>
      <c r="O131" s="80"/>
      <c r="P131" s="80"/>
      <c r="Q131" s="79"/>
      <c r="R131" s="79"/>
      <c r="S131" s="80"/>
      <c r="T131" s="81"/>
      <c r="U131" s="86"/>
      <c r="V131" s="87"/>
      <c r="W131" s="87"/>
      <c r="X131" s="87"/>
      <c r="Y131" s="86"/>
      <c r="Z131" s="87"/>
      <c r="AA131" s="87"/>
      <c r="AB131" s="87"/>
      <c r="AC131" s="87"/>
      <c r="AD131" s="87"/>
      <c r="AE131" s="81">
        <v>9</v>
      </c>
      <c r="AM131" s="12"/>
      <c r="AN131" s="96"/>
      <c r="AO131" s="184"/>
      <c r="AP131" s="184"/>
      <c r="AQ131" s="11"/>
      <c r="AR131" s="11"/>
    </row>
    <row r="132" spans="1:44" s="4" customFormat="1" ht="37.5">
      <c r="A132" s="82">
        <v>27</v>
      </c>
      <c r="B132" s="83" t="s">
        <v>51</v>
      </c>
      <c r="C132" s="64">
        <f t="shared" ref="C132" si="104">SUM(D132:F134)</f>
        <v>56</v>
      </c>
      <c r="D132" s="65">
        <f t="shared" ref="D132" si="105">SUM(G132:X132)</f>
        <v>28</v>
      </c>
      <c r="E132" s="65"/>
      <c r="F132" s="66"/>
      <c r="G132" s="67">
        <v>2</v>
      </c>
      <c r="H132" s="67">
        <v>2</v>
      </c>
      <c r="I132" s="67">
        <v>2</v>
      </c>
      <c r="J132" s="67">
        <v>2</v>
      </c>
      <c r="K132" s="67">
        <v>2</v>
      </c>
      <c r="L132" s="67">
        <v>2</v>
      </c>
      <c r="M132" s="67">
        <v>2</v>
      </c>
      <c r="N132" s="67">
        <v>2</v>
      </c>
      <c r="O132" s="67">
        <v>2</v>
      </c>
      <c r="P132" s="67">
        <v>2</v>
      </c>
      <c r="Q132" s="67">
        <v>2</v>
      </c>
      <c r="R132" s="67">
        <v>2</v>
      </c>
      <c r="S132" s="67">
        <v>2</v>
      </c>
      <c r="T132" s="66">
        <v>2</v>
      </c>
      <c r="U132" s="64"/>
      <c r="V132" s="65"/>
      <c r="W132" s="65"/>
      <c r="X132" s="65"/>
      <c r="Y132" s="64"/>
      <c r="Z132" s="65"/>
      <c r="AA132" s="65"/>
      <c r="AB132" s="65"/>
      <c r="AC132" s="65"/>
      <c r="AD132" s="65"/>
      <c r="AE132" s="66" t="s">
        <v>27</v>
      </c>
      <c r="AM132" s="11"/>
      <c r="AN132" s="11"/>
      <c r="AO132" s="11"/>
      <c r="AP132" s="11"/>
      <c r="AQ132" s="11"/>
      <c r="AR132" s="11"/>
    </row>
    <row r="133" spans="1:44" s="4" customFormat="1">
      <c r="A133" s="84"/>
      <c r="B133" s="85"/>
      <c r="C133" s="71"/>
      <c r="D133" s="72"/>
      <c r="E133" s="72">
        <f t="shared" ref="E133" si="106">SUM(G133:X133)</f>
        <v>28</v>
      </c>
      <c r="F133" s="73"/>
      <c r="G133" s="71">
        <v>2</v>
      </c>
      <c r="H133" s="71">
        <v>2</v>
      </c>
      <c r="I133" s="71">
        <v>2</v>
      </c>
      <c r="J133" s="71">
        <v>2</v>
      </c>
      <c r="K133" s="71">
        <v>2</v>
      </c>
      <c r="L133" s="71">
        <v>2</v>
      </c>
      <c r="M133" s="71">
        <v>2</v>
      </c>
      <c r="N133" s="71">
        <v>2</v>
      </c>
      <c r="O133" s="71">
        <v>2</v>
      </c>
      <c r="P133" s="71">
        <v>2</v>
      </c>
      <c r="Q133" s="71">
        <v>2</v>
      </c>
      <c r="R133" s="71">
        <v>2</v>
      </c>
      <c r="S133" s="71">
        <v>2</v>
      </c>
      <c r="T133" s="73">
        <v>2</v>
      </c>
      <c r="U133" s="71"/>
      <c r="V133" s="72"/>
      <c r="W133" s="72"/>
      <c r="X133" s="72"/>
      <c r="Y133" s="71"/>
      <c r="Z133" s="72"/>
      <c r="AA133" s="72"/>
      <c r="AB133" s="72"/>
      <c r="AC133" s="72"/>
      <c r="AD133" s="72"/>
      <c r="AE133" s="76"/>
      <c r="AM133" s="12"/>
      <c r="AN133" s="96"/>
      <c r="AO133" s="184"/>
      <c r="AP133" s="184"/>
      <c r="AQ133" s="11"/>
      <c r="AR133" s="11"/>
    </row>
    <row r="134" spans="1:44" s="4" customFormat="1" ht="19.5" thickBot="1">
      <c r="A134" s="88"/>
      <c r="B134" s="89"/>
      <c r="C134" s="79"/>
      <c r="D134" s="80"/>
      <c r="E134" s="80"/>
      <c r="F134" s="81">
        <f t="shared" ref="F134" si="107">SUM(G134:X134)</f>
        <v>0</v>
      </c>
      <c r="G134" s="79"/>
      <c r="H134" s="80"/>
      <c r="I134" s="80"/>
      <c r="J134" s="79"/>
      <c r="K134" s="79"/>
      <c r="L134" s="80"/>
      <c r="M134" s="80"/>
      <c r="N134" s="80"/>
      <c r="O134" s="80"/>
      <c r="P134" s="80"/>
      <c r="Q134" s="86"/>
      <c r="R134" s="86"/>
      <c r="S134" s="87"/>
      <c r="T134" s="92"/>
      <c r="U134" s="86"/>
      <c r="V134" s="87"/>
      <c r="W134" s="87"/>
      <c r="X134" s="87"/>
      <c r="Y134" s="86"/>
      <c r="Z134" s="87"/>
      <c r="AA134" s="87"/>
      <c r="AB134" s="87"/>
      <c r="AC134" s="87"/>
      <c r="AD134" s="87"/>
      <c r="AE134" s="81">
        <v>36</v>
      </c>
      <c r="AM134" s="12"/>
      <c r="AN134" s="96"/>
      <c r="AO134" s="184"/>
      <c r="AP134" s="184"/>
      <c r="AQ134" s="11"/>
      <c r="AR134" s="11"/>
    </row>
    <row r="135" spans="1:44" s="4" customFormat="1" ht="37.5">
      <c r="A135" s="82">
        <v>27</v>
      </c>
      <c r="B135" s="83" t="s">
        <v>58</v>
      </c>
      <c r="C135" s="64">
        <f t="shared" ref="C135" si="108">SUM(D135:F137)</f>
        <v>56</v>
      </c>
      <c r="D135" s="65">
        <f t="shared" ref="D135" si="109">SUM(G135:X135)</f>
        <v>28</v>
      </c>
      <c r="E135" s="65"/>
      <c r="F135" s="66"/>
      <c r="G135" s="67">
        <v>2</v>
      </c>
      <c r="H135" s="67">
        <v>2</v>
      </c>
      <c r="I135" s="67">
        <v>2</v>
      </c>
      <c r="J135" s="67">
        <v>2</v>
      </c>
      <c r="K135" s="67">
        <v>2</v>
      </c>
      <c r="L135" s="67">
        <v>2</v>
      </c>
      <c r="M135" s="67">
        <v>2</v>
      </c>
      <c r="N135" s="67">
        <v>2</v>
      </c>
      <c r="O135" s="67">
        <v>2</v>
      </c>
      <c r="P135" s="67">
        <v>2</v>
      </c>
      <c r="Q135" s="67">
        <v>2</v>
      </c>
      <c r="R135" s="67">
        <v>2</v>
      </c>
      <c r="S135" s="67">
        <v>2</v>
      </c>
      <c r="T135" s="66">
        <v>2</v>
      </c>
      <c r="U135" s="64"/>
      <c r="V135" s="65"/>
      <c r="W135" s="65"/>
      <c r="X135" s="65"/>
      <c r="Y135" s="64"/>
      <c r="Z135" s="65"/>
      <c r="AA135" s="65"/>
      <c r="AB135" s="65"/>
      <c r="AC135" s="65"/>
      <c r="AD135" s="65"/>
      <c r="AE135" s="66" t="s">
        <v>27</v>
      </c>
      <c r="AM135" s="11"/>
      <c r="AN135" s="11"/>
      <c r="AO135" s="11"/>
      <c r="AP135" s="11"/>
      <c r="AQ135" s="11"/>
      <c r="AR135" s="11"/>
    </row>
    <row r="136" spans="1:44" s="4" customFormat="1">
      <c r="A136" s="84"/>
      <c r="B136" s="85"/>
      <c r="C136" s="71"/>
      <c r="D136" s="72"/>
      <c r="E136" s="72">
        <f t="shared" ref="E136" si="110">SUM(G136:X136)</f>
        <v>28</v>
      </c>
      <c r="F136" s="73"/>
      <c r="G136" s="71">
        <v>2</v>
      </c>
      <c r="H136" s="71">
        <v>2</v>
      </c>
      <c r="I136" s="71">
        <v>2</v>
      </c>
      <c r="J136" s="71">
        <v>2</v>
      </c>
      <c r="K136" s="71">
        <v>2</v>
      </c>
      <c r="L136" s="71">
        <v>2</v>
      </c>
      <c r="M136" s="71">
        <v>2</v>
      </c>
      <c r="N136" s="71">
        <v>2</v>
      </c>
      <c r="O136" s="71">
        <v>2</v>
      </c>
      <c r="P136" s="71">
        <v>2</v>
      </c>
      <c r="Q136" s="71">
        <v>2</v>
      </c>
      <c r="R136" s="71">
        <v>2</v>
      </c>
      <c r="S136" s="71">
        <v>2</v>
      </c>
      <c r="T136" s="73">
        <v>2</v>
      </c>
      <c r="U136" s="71"/>
      <c r="V136" s="72"/>
      <c r="W136" s="72"/>
      <c r="X136" s="72"/>
      <c r="Y136" s="71"/>
      <c r="Z136" s="72"/>
      <c r="AA136" s="72"/>
      <c r="AB136" s="72"/>
      <c r="AC136" s="72"/>
      <c r="AD136" s="72"/>
      <c r="AE136" s="76"/>
      <c r="AM136" s="12"/>
      <c r="AN136" s="96"/>
      <c r="AO136" s="184"/>
      <c r="AP136" s="184"/>
      <c r="AQ136" s="11"/>
      <c r="AR136" s="11"/>
    </row>
    <row r="137" spans="1:44" s="4" customFormat="1" ht="19.5" thickBot="1">
      <c r="A137" s="98"/>
      <c r="B137" s="89"/>
      <c r="C137" s="79"/>
      <c r="D137" s="80"/>
      <c r="E137" s="80"/>
      <c r="F137" s="81">
        <f t="shared" ref="F137" si="111">SUM(G137:X137)</f>
        <v>0</v>
      </c>
      <c r="G137" s="79"/>
      <c r="H137" s="80"/>
      <c r="I137" s="80"/>
      <c r="J137" s="79"/>
      <c r="K137" s="79"/>
      <c r="L137" s="80"/>
      <c r="M137" s="80"/>
      <c r="N137" s="80"/>
      <c r="O137" s="80"/>
      <c r="P137" s="80"/>
      <c r="Q137" s="86"/>
      <c r="R137" s="86"/>
      <c r="S137" s="87"/>
      <c r="T137" s="92"/>
      <c r="U137" s="86"/>
      <c r="V137" s="87"/>
      <c r="W137" s="87"/>
      <c r="X137" s="87"/>
      <c r="Y137" s="86"/>
      <c r="Z137" s="87"/>
      <c r="AA137" s="87"/>
      <c r="AB137" s="87"/>
      <c r="AC137" s="87"/>
      <c r="AD137" s="87"/>
      <c r="AE137" s="81">
        <v>36</v>
      </c>
      <c r="AM137" s="12"/>
      <c r="AN137" s="96"/>
      <c r="AO137" s="184"/>
      <c r="AP137" s="184"/>
      <c r="AQ137" s="11"/>
      <c r="AR137" s="11"/>
    </row>
    <row r="138" spans="1:44" ht="19.5" thickBot="1">
      <c r="A138" s="185" t="s">
        <v>60</v>
      </c>
      <c r="B138" s="186"/>
      <c r="C138" s="186"/>
      <c r="D138" s="186"/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  <c r="P138" s="186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  <c r="AD138" s="186"/>
      <c r="AE138" s="187"/>
    </row>
    <row r="139" spans="1:44" s="4" customFormat="1" ht="37.5">
      <c r="A139" s="82">
        <v>27</v>
      </c>
      <c r="B139" s="83" t="s">
        <v>23</v>
      </c>
      <c r="C139" s="64">
        <f t="shared" ref="C139" si="112">SUM(D139:F141)</f>
        <v>32</v>
      </c>
      <c r="D139" s="65">
        <f t="shared" ref="D139" si="113">SUM(G139:X139)</f>
        <v>16</v>
      </c>
      <c r="E139" s="65"/>
      <c r="F139" s="66"/>
      <c r="G139" s="67">
        <v>2</v>
      </c>
      <c r="H139" s="68"/>
      <c r="I139" s="68">
        <v>2</v>
      </c>
      <c r="J139" s="67"/>
      <c r="K139" s="64">
        <v>2</v>
      </c>
      <c r="L139" s="65"/>
      <c r="M139" s="65">
        <v>2</v>
      </c>
      <c r="N139" s="65"/>
      <c r="O139" s="65">
        <v>2</v>
      </c>
      <c r="P139" s="65"/>
      <c r="Q139" s="64">
        <v>2</v>
      </c>
      <c r="R139" s="64"/>
      <c r="S139" s="65">
        <v>2</v>
      </c>
      <c r="T139" s="65"/>
      <c r="U139" s="65">
        <v>2</v>
      </c>
      <c r="V139" s="66"/>
      <c r="W139" s="64"/>
      <c r="X139" s="65"/>
      <c r="Y139" s="64"/>
      <c r="Z139" s="65"/>
      <c r="AA139" s="65"/>
      <c r="AB139" s="65"/>
      <c r="AC139" s="65"/>
      <c r="AD139" s="65"/>
      <c r="AE139" s="66" t="s">
        <v>34</v>
      </c>
      <c r="AM139" s="11"/>
      <c r="AN139" s="11"/>
      <c r="AO139" s="11"/>
      <c r="AP139" s="11"/>
      <c r="AQ139" s="11"/>
      <c r="AR139" s="11"/>
    </row>
    <row r="140" spans="1:44" s="4" customFormat="1">
      <c r="A140" s="84"/>
      <c r="B140" s="85"/>
      <c r="C140" s="71"/>
      <c r="D140" s="72"/>
      <c r="E140" s="72">
        <f t="shared" ref="E140" si="114">SUM(G140:X140)</f>
        <v>8</v>
      </c>
      <c r="F140" s="73"/>
      <c r="G140" s="71"/>
      <c r="H140" s="72">
        <v>2</v>
      </c>
      <c r="I140" s="72"/>
      <c r="J140" s="71">
        <v>2</v>
      </c>
      <c r="K140" s="74"/>
      <c r="L140" s="75">
        <v>2</v>
      </c>
      <c r="M140" s="75"/>
      <c r="N140" s="75">
        <v>2</v>
      </c>
      <c r="O140" s="75"/>
      <c r="P140" s="75"/>
      <c r="Q140" s="71"/>
      <c r="R140" s="71"/>
      <c r="S140" s="72"/>
      <c r="T140" s="72"/>
      <c r="U140" s="72"/>
      <c r="V140" s="73"/>
      <c r="W140" s="71"/>
      <c r="X140" s="72"/>
      <c r="Y140" s="71"/>
      <c r="Z140" s="72"/>
      <c r="AA140" s="72"/>
      <c r="AB140" s="72"/>
      <c r="AC140" s="72"/>
      <c r="AD140" s="72"/>
      <c r="AE140" s="76"/>
      <c r="AM140" s="12"/>
      <c r="AN140" s="96"/>
      <c r="AO140" s="184"/>
      <c r="AP140" s="184"/>
      <c r="AQ140" s="11"/>
      <c r="AR140" s="11"/>
    </row>
    <row r="141" spans="1:44" s="4" customFormat="1" ht="19.5" thickBot="1">
      <c r="A141" s="98"/>
      <c r="B141" s="89"/>
      <c r="C141" s="79"/>
      <c r="D141" s="80"/>
      <c r="E141" s="80"/>
      <c r="F141" s="81">
        <f t="shared" ref="F141" si="115">SUM(G141:X141)</f>
        <v>8</v>
      </c>
      <c r="G141" s="79"/>
      <c r="H141" s="80"/>
      <c r="I141" s="80"/>
      <c r="J141" s="79"/>
      <c r="K141" s="79"/>
      <c r="L141" s="80"/>
      <c r="M141" s="80"/>
      <c r="N141" s="80"/>
      <c r="O141" s="80"/>
      <c r="P141" s="80">
        <v>2</v>
      </c>
      <c r="Q141" s="86"/>
      <c r="R141" s="86">
        <v>2</v>
      </c>
      <c r="S141" s="87"/>
      <c r="T141" s="87">
        <v>2</v>
      </c>
      <c r="U141" s="87"/>
      <c r="V141" s="92">
        <v>2</v>
      </c>
      <c r="W141" s="86"/>
      <c r="X141" s="87"/>
      <c r="Y141" s="86"/>
      <c r="Z141" s="87"/>
      <c r="AA141" s="87"/>
      <c r="AB141" s="87"/>
      <c r="AC141" s="87"/>
      <c r="AD141" s="87"/>
      <c r="AE141" s="81">
        <v>18</v>
      </c>
      <c r="AM141" s="12"/>
      <c r="AN141" s="96"/>
      <c r="AO141" s="184"/>
      <c r="AP141" s="184"/>
      <c r="AQ141" s="11"/>
      <c r="AR141" s="11"/>
    </row>
    <row r="142" spans="1:44" ht="19.5" thickBot="1">
      <c r="A142" s="185" t="s">
        <v>65</v>
      </c>
      <c r="B142" s="186"/>
      <c r="C142" s="186"/>
      <c r="D142" s="186"/>
      <c r="E142" s="186"/>
      <c r="F142" s="186"/>
      <c r="G142" s="186"/>
      <c r="H142" s="186"/>
      <c r="I142" s="186"/>
      <c r="J142" s="186"/>
      <c r="K142" s="186"/>
      <c r="L142" s="186"/>
      <c r="M142" s="186"/>
      <c r="N142" s="186"/>
      <c r="O142" s="186"/>
      <c r="P142" s="186"/>
      <c r="Q142" s="186"/>
      <c r="R142" s="186"/>
      <c r="S142" s="186"/>
      <c r="T142" s="186"/>
      <c r="U142" s="186"/>
      <c r="V142" s="186"/>
      <c r="W142" s="186"/>
      <c r="X142" s="186"/>
      <c r="Y142" s="186"/>
      <c r="Z142" s="186"/>
      <c r="AA142" s="186"/>
      <c r="AB142" s="186"/>
      <c r="AC142" s="186"/>
      <c r="AD142" s="186"/>
      <c r="AE142" s="187"/>
    </row>
    <row r="143" spans="1:44" s="4" customFormat="1" ht="37.5">
      <c r="A143" s="82">
        <v>27</v>
      </c>
      <c r="B143" s="83" t="s">
        <v>20</v>
      </c>
      <c r="C143" s="64">
        <f>SUM(D143:F145)</f>
        <v>42</v>
      </c>
      <c r="D143" s="65">
        <f>SUM(G143:X143)</f>
        <v>14</v>
      </c>
      <c r="E143" s="65"/>
      <c r="F143" s="66"/>
      <c r="G143" s="64">
        <v>2</v>
      </c>
      <c r="H143" s="65"/>
      <c r="I143" s="65">
        <v>2</v>
      </c>
      <c r="J143" s="65"/>
      <c r="K143" s="64">
        <v>2</v>
      </c>
      <c r="L143" s="65"/>
      <c r="M143" s="65">
        <v>2</v>
      </c>
      <c r="N143" s="65"/>
      <c r="O143" s="65">
        <v>2</v>
      </c>
      <c r="P143" s="65"/>
      <c r="Q143" s="64">
        <v>2</v>
      </c>
      <c r="R143" s="64"/>
      <c r="S143" s="65">
        <v>2</v>
      </c>
      <c r="T143" s="66"/>
      <c r="U143" s="64"/>
      <c r="V143" s="65"/>
      <c r="W143" s="65"/>
      <c r="X143" s="65"/>
      <c r="Y143" s="64"/>
      <c r="Z143" s="65"/>
      <c r="AA143" s="65"/>
      <c r="AB143" s="65"/>
      <c r="AC143" s="65"/>
      <c r="AD143" s="65"/>
      <c r="AE143" s="66" t="s">
        <v>21</v>
      </c>
      <c r="AM143" s="11"/>
      <c r="AN143" s="11"/>
      <c r="AO143" s="11"/>
      <c r="AP143" s="11"/>
      <c r="AQ143" s="11"/>
      <c r="AR143" s="11"/>
    </row>
    <row r="144" spans="1:44" s="4" customFormat="1">
      <c r="A144" s="84"/>
      <c r="B144" s="85"/>
      <c r="C144" s="71"/>
      <c r="D144" s="72"/>
      <c r="E144" s="72">
        <f>SUM(G144:X144)</f>
        <v>28</v>
      </c>
      <c r="F144" s="73"/>
      <c r="G144" s="71"/>
      <c r="H144" s="72">
        <v>4</v>
      </c>
      <c r="I144" s="72"/>
      <c r="J144" s="72">
        <v>4</v>
      </c>
      <c r="K144" s="74"/>
      <c r="L144" s="75">
        <v>4</v>
      </c>
      <c r="M144" s="75"/>
      <c r="N144" s="75">
        <v>4</v>
      </c>
      <c r="O144" s="75"/>
      <c r="P144" s="75">
        <v>4</v>
      </c>
      <c r="Q144" s="75"/>
      <c r="R144" s="75">
        <v>4</v>
      </c>
      <c r="S144" s="75"/>
      <c r="T144" s="102">
        <v>4</v>
      </c>
      <c r="U144" s="71"/>
      <c r="V144" s="71"/>
      <c r="W144" s="71"/>
      <c r="X144" s="72"/>
      <c r="Y144" s="71"/>
      <c r="Z144" s="72"/>
      <c r="AA144" s="72"/>
      <c r="AB144" s="72"/>
      <c r="AC144" s="72"/>
      <c r="AD144" s="72"/>
      <c r="AE144" s="76"/>
      <c r="AM144" s="12"/>
      <c r="AN144" s="96"/>
      <c r="AO144" s="184"/>
      <c r="AP144" s="184"/>
      <c r="AQ144" s="11"/>
      <c r="AR144" s="11"/>
    </row>
    <row r="145" spans="1:44" s="4" customFormat="1" ht="19.5" thickBot="1">
      <c r="A145" s="88"/>
      <c r="B145" s="89"/>
      <c r="C145" s="79"/>
      <c r="D145" s="80"/>
      <c r="E145" s="80"/>
      <c r="F145" s="81">
        <f>SUM(G145:X145)</f>
        <v>0</v>
      </c>
      <c r="G145" s="79"/>
      <c r="H145" s="80"/>
      <c r="I145" s="80"/>
      <c r="J145" s="79"/>
      <c r="K145" s="79"/>
      <c r="L145" s="80"/>
      <c r="M145" s="80"/>
      <c r="N145" s="80"/>
      <c r="O145" s="80"/>
      <c r="P145" s="80"/>
      <c r="Q145" s="79"/>
      <c r="R145" s="79"/>
      <c r="S145" s="80"/>
      <c r="T145" s="81"/>
      <c r="U145" s="79"/>
      <c r="V145" s="80"/>
      <c r="W145" s="80"/>
      <c r="X145" s="87"/>
      <c r="Y145" s="86"/>
      <c r="Z145" s="87"/>
      <c r="AA145" s="87"/>
      <c r="AB145" s="87"/>
      <c r="AC145" s="87"/>
      <c r="AD145" s="87"/>
      <c r="AE145" s="81">
        <v>9</v>
      </c>
      <c r="AM145" s="12"/>
      <c r="AN145" s="96"/>
      <c r="AO145" s="184"/>
      <c r="AP145" s="184"/>
      <c r="AQ145" s="11"/>
      <c r="AR145" s="11"/>
    </row>
    <row r="146" spans="1:44" s="4" customFormat="1" ht="37.5">
      <c r="A146" s="82">
        <v>27</v>
      </c>
      <c r="B146" s="83" t="s">
        <v>35</v>
      </c>
      <c r="C146" s="64">
        <f>SUM(D146:F148)</f>
        <v>28</v>
      </c>
      <c r="D146" s="65">
        <f>SUM(G146:X146)</f>
        <v>14</v>
      </c>
      <c r="E146" s="65"/>
      <c r="F146" s="66"/>
      <c r="G146" s="67">
        <v>2</v>
      </c>
      <c r="H146" s="68"/>
      <c r="I146" s="68">
        <v>2</v>
      </c>
      <c r="J146" s="67"/>
      <c r="K146" s="64">
        <v>2</v>
      </c>
      <c r="L146" s="65"/>
      <c r="M146" s="65">
        <v>2</v>
      </c>
      <c r="N146" s="65"/>
      <c r="O146" s="65">
        <v>2</v>
      </c>
      <c r="P146" s="65"/>
      <c r="Q146" s="64">
        <v>2</v>
      </c>
      <c r="R146" s="64"/>
      <c r="S146" s="65">
        <v>2</v>
      </c>
      <c r="T146" s="66"/>
      <c r="U146" s="64"/>
      <c r="V146" s="65"/>
      <c r="W146" s="65"/>
      <c r="X146" s="65"/>
      <c r="Y146" s="64"/>
      <c r="Z146" s="65"/>
      <c r="AA146" s="65"/>
      <c r="AB146" s="65"/>
      <c r="AC146" s="65"/>
      <c r="AD146" s="65"/>
      <c r="AE146" s="66" t="s">
        <v>21</v>
      </c>
      <c r="AM146" s="11"/>
      <c r="AN146" s="11"/>
      <c r="AO146" s="11"/>
      <c r="AP146" s="11"/>
      <c r="AQ146" s="11"/>
      <c r="AR146" s="11"/>
    </row>
    <row r="147" spans="1:44" s="4" customFormat="1">
      <c r="A147" s="84"/>
      <c r="B147" s="85"/>
      <c r="C147" s="71"/>
      <c r="D147" s="72"/>
      <c r="E147" s="72">
        <f>SUM(G147:X147)</f>
        <v>14</v>
      </c>
      <c r="F147" s="73"/>
      <c r="G147" s="71"/>
      <c r="H147" s="71">
        <v>2</v>
      </c>
      <c r="I147" s="71"/>
      <c r="J147" s="71">
        <v>2</v>
      </c>
      <c r="K147" s="71"/>
      <c r="L147" s="71">
        <v>2</v>
      </c>
      <c r="M147" s="71"/>
      <c r="N147" s="71">
        <v>2</v>
      </c>
      <c r="O147" s="71"/>
      <c r="P147" s="71">
        <v>2</v>
      </c>
      <c r="Q147" s="71"/>
      <c r="R147" s="71">
        <v>2</v>
      </c>
      <c r="S147" s="71"/>
      <c r="T147" s="73">
        <v>2</v>
      </c>
      <c r="U147" s="71"/>
      <c r="V147" s="71"/>
      <c r="W147" s="71"/>
      <c r="X147" s="72"/>
      <c r="Y147" s="71"/>
      <c r="Z147" s="72"/>
      <c r="AA147" s="72"/>
      <c r="AB147" s="72"/>
      <c r="AC147" s="72"/>
      <c r="AD147" s="72"/>
      <c r="AE147" s="76"/>
      <c r="AM147" s="12"/>
      <c r="AN147" s="96"/>
      <c r="AO147" s="184"/>
      <c r="AP147" s="184"/>
      <c r="AQ147" s="11"/>
      <c r="AR147" s="11"/>
    </row>
    <row r="148" spans="1:44" s="4" customFormat="1" ht="19.5" thickBot="1">
      <c r="A148" s="88"/>
      <c r="B148" s="89"/>
      <c r="C148" s="79"/>
      <c r="D148" s="80"/>
      <c r="E148" s="80"/>
      <c r="F148" s="81">
        <f>SUM(G148:X148)</f>
        <v>0</v>
      </c>
      <c r="G148" s="86"/>
      <c r="H148" s="87"/>
      <c r="I148" s="86"/>
      <c r="J148" s="79"/>
      <c r="K148" s="86"/>
      <c r="L148" s="72"/>
      <c r="M148" s="72"/>
      <c r="N148" s="72"/>
      <c r="O148" s="72"/>
      <c r="P148" s="72"/>
      <c r="Q148" s="71"/>
      <c r="R148" s="71"/>
      <c r="S148" s="72"/>
      <c r="T148" s="73"/>
      <c r="U148" s="79"/>
      <c r="V148" s="80"/>
      <c r="W148" s="80"/>
      <c r="X148" s="87"/>
      <c r="Y148" s="86"/>
      <c r="Z148" s="87"/>
      <c r="AA148" s="87"/>
      <c r="AB148" s="87"/>
      <c r="AC148" s="87"/>
      <c r="AD148" s="87"/>
      <c r="AE148" s="81">
        <v>18</v>
      </c>
      <c r="AM148" s="12"/>
      <c r="AN148" s="96"/>
      <c r="AO148" s="184"/>
      <c r="AP148" s="184"/>
      <c r="AQ148" s="11"/>
      <c r="AR148" s="11"/>
    </row>
    <row r="149" spans="1:44" s="4" customFormat="1" ht="56.25">
      <c r="A149" s="82">
        <v>27</v>
      </c>
      <c r="B149" s="83" t="s">
        <v>61</v>
      </c>
      <c r="C149" s="64">
        <f t="shared" ref="C149" si="116">SUM(D149:F151)</f>
        <v>42</v>
      </c>
      <c r="D149" s="65">
        <f t="shared" ref="D149" si="117">SUM(G149:X149)</f>
        <v>14</v>
      </c>
      <c r="E149" s="65"/>
      <c r="F149" s="66"/>
      <c r="G149" s="67">
        <v>2</v>
      </c>
      <c r="H149" s="68"/>
      <c r="I149" s="68">
        <v>2</v>
      </c>
      <c r="J149" s="67"/>
      <c r="K149" s="64">
        <v>2</v>
      </c>
      <c r="L149" s="65"/>
      <c r="M149" s="65">
        <v>2</v>
      </c>
      <c r="N149" s="65"/>
      <c r="O149" s="65">
        <v>2</v>
      </c>
      <c r="P149" s="65"/>
      <c r="Q149" s="64">
        <v>2</v>
      </c>
      <c r="R149" s="64"/>
      <c r="S149" s="65">
        <v>2</v>
      </c>
      <c r="T149" s="66"/>
      <c r="U149" s="64"/>
      <c r="V149" s="65"/>
      <c r="W149" s="65"/>
      <c r="X149" s="65"/>
      <c r="Y149" s="64"/>
      <c r="Z149" s="65"/>
      <c r="AA149" s="65"/>
      <c r="AB149" s="65"/>
      <c r="AC149" s="65"/>
      <c r="AD149" s="65"/>
      <c r="AE149" s="66" t="s">
        <v>24</v>
      </c>
      <c r="AM149" s="11"/>
      <c r="AN149" s="11"/>
      <c r="AO149" s="11"/>
      <c r="AP149" s="11"/>
      <c r="AQ149" s="11"/>
      <c r="AR149" s="11"/>
    </row>
    <row r="150" spans="1:44" s="4" customFormat="1">
      <c r="A150" s="84"/>
      <c r="B150" s="85"/>
      <c r="C150" s="71"/>
      <c r="D150" s="72"/>
      <c r="E150" s="72">
        <f t="shared" ref="E150" si="118">SUM(G150:X150)</f>
        <v>28</v>
      </c>
      <c r="F150" s="73"/>
      <c r="G150" s="71">
        <v>2</v>
      </c>
      <c r="H150" s="71">
        <v>2</v>
      </c>
      <c r="I150" s="71">
        <v>2</v>
      </c>
      <c r="J150" s="71">
        <v>2</v>
      </c>
      <c r="K150" s="71">
        <v>2</v>
      </c>
      <c r="L150" s="71">
        <v>2</v>
      </c>
      <c r="M150" s="71">
        <v>2</v>
      </c>
      <c r="N150" s="71">
        <v>2</v>
      </c>
      <c r="O150" s="71">
        <v>2</v>
      </c>
      <c r="P150" s="71">
        <v>2</v>
      </c>
      <c r="Q150" s="71">
        <v>2</v>
      </c>
      <c r="R150" s="71">
        <v>2</v>
      </c>
      <c r="S150" s="71">
        <v>2</v>
      </c>
      <c r="T150" s="73">
        <v>2</v>
      </c>
      <c r="U150" s="71"/>
      <c r="V150" s="71"/>
      <c r="W150" s="71"/>
      <c r="X150" s="72"/>
      <c r="Y150" s="71"/>
      <c r="Z150" s="72"/>
      <c r="AA150" s="72"/>
      <c r="AB150" s="72"/>
      <c r="AC150" s="72"/>
      <c r="AD150" s="72"/>
      <c r="AE150" s="76"/>
      <c r="AM150" s="12"/>
      <c r="AN150" s="96"/>
      <c r="AO150" s="184"/>
      <c r="AP150" s="184"/>
      <c r="AQ150" s="11"/>
      <c r="AR150" s="11"/>
    </row>
    <row r="151" spans="1:44" s="4" customFormat="1" ht="19.5" thickBot="1">
      <c r="A151" s="88"/>
      <c r="B151" s="89"/>
      <c r="C151" s="79"/>
      <c r="D151" s="80"/>
      <c r="E151" s="80"/>
      <c r="F151" s="81">
        <f t="shared" ref="F151" si="119">SUM(G151:X151)</f>
        <v>0</v>
      </c>
      <c r="G151" s="79"/>
      <c r="H151" s="80"/>
      <c r="I151" s="80"/>
      <c r="J151" s="79"/>
      <c r="K151" s="79"/>
      <c r="L151" s="80"/>
      <c r="M151" s="80"/>
      <c r="N151" s="80"/>
      <c r="O151" s="80"/>
      <c r="P151" s="80"/>
      <c r="Q151" s="79"/>
      <c r="R151" s="79"/>
      <c r="S151" s="80"/>
      <c r="T151" s="81"/>
      <c r="U151" s="79"/>
      <c r="V151" s="80"/>
      <c r="W151" s="80"/>
      <c r="X151" s="87"/>
      <c r="Y151" s="86"/>
      <c r="Z151" s="87"/>
      <c r="AA151" s="87"/>
      <c r="AB151" s="87"/>
      <c r="AC151" s="87"/>
      <c r="AD151" s="87"/>
      <c r="AE151" s="81">
        <v>36</v>
      </c>
      <c r="AM151" s="12"/>
      <c r="AN151" s="96"/>
      <c r="AO151" s="184"/>
      <c r="AP151" s="184"/>
      <c r="AQ151" s="11"/>
      <c r="AR151" s="11"/>
    </row>
    <row r="152" spans="1:44" s="4" customFormat="1" ht="37.5">
      <c r="A152" s="82">
        <v>27</v>
      </c>
      <c r="B152" s="83" t="s">
        <v>51</v>
      </c>
      <c r="C152" s="64">
        <f t="shared" ref="C152" si="120">SUM(D152:F154)</f>
        <v>42</v>
      </c>
      <c r="D152" s="65">
        <f t="shared" ref="D152" si="121">SUM(G152:X152)</f>
        <v>14</v>
      </c>
      <c r="E152" s="65"/>
      <c r="F152" s="66"/>
      <c r="G152" s="64">
        <v>2</v>
      </c>
      <c r="H152" s="65"/>
      <c r="I152" s="65">
        <v>2</v>
      </c>
      <c r="J152" s="65"/>
      <c r="K152" s="64">
        <v>2</v>
      </c>
      <c r="L152" s="65"/>
      <c r="M152" s="65">
        <v>2</v>
      </c>
      <c r="N152" s="65"/>
      <c r="O152" s="65">
        <v>2</v>
      </c>
      <c r="P152" s="65"/>
      <c r="Q152" s="64">
        <v>2</v>
      </c>
      <c r="R152" s="64"/>
      <c r="S152" s="65">
        <v>2</v>
      </c>
      <c r="T152" s="66"/>
      <c r="U152" s="64"/>
      <c r="V152" s="65"/>
      <c r="W152" s="65"/>
      <c r="X152" s="65"/>
      <c r="Y152" s="64"/>
      <c r="Z152" s="65"/>
      <c r="AA152" s="65"/>
      <c r="AB152" s="65"/>
      <c r="AC152" s="65"/>
      <c r="AD152" s="65"/>
      <c r="AE152" s="66" t="s">
        <v>24</v>
      </c>
      <c r="AM152" s="11"/>
      <c r="AN152" s="11"/>
      <c r="AO152" s="11"/>
      <c r="AP152" s="11"/>
      <c r="AQ152" s="11"/>
      <c r="AR152" s="11"/>
    </row>
    <row r="153" spans="1:44" s="4" customFormat="1">
      <c r="A153" s="84"/>
      <c r="B153" s="85"/>
      <c r="C153" s="71"/>
      <c r="D153" s="72"/>
      <c r="E153" s="72">
        <f t="shared" ref="E153" si="122">SUM(G153:X153)</f>
        <v>28</v>
      </c>
      <c r="F153" s="73"/>
      <c r="G153" s="71"/>
      <c r="H153" s="72">
        <v>4</v>
      </c>
      <c r="I153" s="72"/>
      <c r="J153" s="72">
        <v>4</v>
      </c>
      <c r="K153" s="74"/>
      <c r="L153" s="75">
        <v>4</v>
      </c>
      <c r="M153" s="75"/>
      <c r="N153" s="75">
        <v>4</v>
      </c>
      <c r="O153" s="75"/>
      <c r="P153" s="75">
        <v>4</v>
      </c>
      <c r="Q153" s="75"/>
      <c r="R153" s="75">
        <v>4</v>
      </c>
      <c r="S153" s="75"/>
      <c r="T153" s="102">
        <v>4</v>
      </c>
      <c r="U153" s="71"/>
      <c r="V153" s="72"/>
      <c r="W153" s="72"/>
      <c r="X153" s="72"/>
      <c r="Y153" s="71"/>
      <c r="Z153" s="72"/>
      <c r="AA153" s="72"/>
      <c r="AB153" s="72"/>
      <c r="AC153" s="72"/>
      <c r="AD153" s="72"/>
      <c r="AE153" s="76"/>
      <c r="AM153" s="12"/>
      <c r="AN153" s="96"/>
      <c r="AO153" s="184"/>
      <c r="AP153" s="184"/>
      <c r="AQ153" s="11"/>
      <c r="AR153" s="11"/>
    </row>
    <row r="154" spans="1:44" s="4" customFormat="1" ht="19.5" thickBot="1">
      <c r="A154" s="88"/>
      <c r="B154" s="89"/>
      <c r="C154" s="79"/>
      <c r="D154" s="80"/>
      <c r="E154" s="80"/>
      <c r="F154" s="81">
        <f t="shared" ref="F154" si="123">SUM(G154:X154)</f>
        <v>0</v>
      </c>
      <c r="G154" s="79"/>
      <c r="H154" s="80"/>
      <c r="I154" s="80"/>
      <c r="J154" s="79"/>
      <c r="K154" s="79"/>
      <c r="L154" s="80"/>
      <c r="M154" s="80"/>
      <c r="N154" s="80"/>
      <c r="O154" s="80"/>
      <c r="P154" s="80"/>
      <c r="Q154" s="86"/>
      <c r="R154" s="86"/>
      <c r="S154" s="87"/>
      <c r="T154" s="92"/>
      <c r="U154" s="86"/>
      <c r="V154" s="87"/>
      <c r="W154" s="87"/>
      <c r="X154" s="87"/>
      <c r="Y154" s="86"/>
      <c r="Z154" s="87"/>
      <c r="AA154" s="87"/>
      <c r="AB154" s="87"/>
      <c r="AC154" s="87"/>
      <c r="AD154" s="87"/>
      <c r="AE154" s="81">
        <v>36</v>
      </c>
      <c r="AM154" s="12"/>
      <c r="AN154" s="96"/>
      <c r="AO154" s="184"/>
      <c r="AP154" s="184"/>
      <c r="AQ154" s="11"/>
      <c r="AR154" s="11"/>
    </row>
    <row r="155" spans="1:44" s="4" customFormat="1" ht="19.5">
      <c r="A155" s="82">
        <v>27</v>
      </c>
      <c r="B155" s="83" t="s">
        <v>62</v>
      </c>
      <c r="C155" s="64">
        <f t="shared" ref="C155" si="124">SUM(D155:F157)</f>
        <v>28</v>
      </c>
      <c r="D155" s="65">
        <f t="shared" ref="D155" si="125">SUM(G155:X155)</f>
        <v>14</v>
      </c>
      <c r="E155" s="65"/>
      <c r="F155" s="66"/>
      <c r="G155" s="67">
        <v>2</v>
      </c>
      <c r="H155" s="68"/>
      <c r="I155" s="68">
        <v>2</v>
      </c>
      <c r="J155" s="67"/>
      <c r="K155" s="64">
        <v>2</v>
      </c>
      <c r="L155" s="65"/>
      <c r="M155" s="65">
        <v>2</v>
      </c>
      <c r="N155" s="65"/>
      <c r="O155" s="65">
        <v>2</v>
      </c>
      <c r="P155" s="65"/>
      <c r="Q155" s="64">
        <v>2</v>
      </c>
      <c r="R155" s="64"/>
      <c r="S155" s="65">
        <v>2</v>
      </c>
      <c r="T155" s="66"/>
      <c r="U155" s="64"/>
      <c r="V155" s="65"/>
      <c r="W155" s="65"/>
      <c r="X155" s="65"/>
      <c r="Y155" s="64"/>
      <c r="Z155" s="65"/>
      <c r="AA155" s="65"/>
      <c r="AB155" s="65"/>
      <c r="AC155" s="65"/>
      <c r="AD155" s="65"/>
      <c r="AE155" s="66" t="s">
        <v>21</v>
      </c>
      <c r="AM155" s="11"/>
      <c r="AN155" s="11"/>
      <c r="AO155" s="11"/>
      <c r="AP155" s="11"/>
      <c r="AQ155" s="11"/>
      <c r="AR155" s="11"/>
    </row>
    <row r="156" spans="1:44" s="4" customFormat="1">
      <c r="A156" s="84"/>
      <c r="B156" s="85"/>
      <c r="C156" s="71"/>
      <c r="D156" s="72"/>
      <c r="E156" s="72">
        <f t="shared" ref="E156" si="126">SUM(G156:X156)</f>
        <v>14</v>
      </c>
      <c r="F156" s="73"/>
      <c r="G156" s="71"/>
      <c r="H156" s="71">
        <v>2</v>
      </c>
      <c r="I156" s="71"/>
      <c r="J156" s="71">
        <v>2</v>
      </c>
      <c r="K156" s="71"/>
      <c r="L156" s="71">
        <v>2</v>
      </c>
      <c r="M156" s="71"/>
      <c r="N156" s="71">
        <v>2</v>
      </c>
      <c r="O156" s="71"/>
      <c r="P156" s="71">
        <v>2</v>
      </c>
      <c r="Q156" s="71"/>
      <c r="R156" s="71">
        <v>2</v>
      </c>
      <c r="S156" s="71"/>
      <c r="T156" s="73">
        <v>2</v>
      </c>
      <c r="U156" s="71"/>
      <c r="V156" s="72"/>
      <c r="W156" s="72"/>
      <c r="X156" s="72"/>
      <c r="Y156" s="71"/>
      <c r="Z156" s="72"/>
      <c r="AA156" s="72"/>
      <c r="AB156" s="72"/>
      <c r="AC156" s="72"/>
      <c r="AD156" s="72"/>
      <c r="AE156" s="76"/>
      <c r="AM156" s="12"/>
      <c r="AN156" s="96"/>
      <c r="AO156" s="184"/>
      <c r="AP156" s="184"/>
      <c r="AQ156" s="11"/>
      <c r="AR156" s="11"/>
    </row>
    <row r="157" spans="1:44" s="4" customFormat="1" ht="19.5" thickBot="1">
      <c r="A157" s="88"/>
      <c r="B157" s="89"/>
      <c r="C157" s="79"/>
      <c r="D157" s="80"/>
      <c r="E157" s="80"/>
      <c r="F157" s="81">
        <f t="shared" ref="F157" si="127">SUM(G157:X157)</f>
        <v>0</v>
      </c>
      <c r="G157" s="86"/>
      <c r="H157" s="87"/>
      <c r="I157" s="86"/>
      <c r="J157" s="79"/>
      <c r="K157" s="86"/>
      <c r="L157" s="72"/>
      <c r="M157" s="72"/>
      <c r="N157" s="72"/>
      <c r="O157" s="72"/>
      <c r="P157" s="72"/>
      <c r="Q157" s="71"/>
      <c r="R157" s="71"/>
      <c r="S157" s="72"/>
      <c r="T157" s="73"/>
      <c r="U157" s="86"/>
      <c r="V157" s="87"/>
      <c r="W157" s="87"/>
      <c r="X157" s="87"/>
      <c r="Y157" s="86"/>
      <c r="Z157" s="87"/>
      <c r="AA157" s="87"/>
      <c r="AB157" s="87"/>
      <c r="AC157" s="87"/>
      <c r="AD157" s="87"/>
      <c r="AE157" s="81">
        <v>18</v>
      </c>
      <c r="AM157" s="12"/>
      <c r="AN157" s="96"/>
      <c r="AO157" s="184"/>
      <c r="AP157" s="184"/>
      <c r="AQ157" s="11"/>
      <c r="AR157" s="11"/>
    </row>
    <row r="158" spans="1:44" s="4" customFormat="1" ht="37.5">
      <c r="A158" s="82">
        <v>27</v>
      </c>
      <c r="B158" s="83" t="s">
        <v>63</v>
      </c>
      <c r="C158" s="64">
        <f t="shared" ref="C158" si="128">SUM(D158:F160)</f>
        <v>42</v>
      </c>
      <c r="D158" s="65">
        <f t="shared" ref="D158" si="129">SUM(G158:X158)</f>
        <v>14</v>
      </c>
      <c r="E158" s="65"/>
      <c r="F158" s="66"/>
      <c r="G158" s="67">
        <v>2</v>
      </c>
      <c r="H158" s="68"/>
      <c r="I158" s="68">
        <v>2</v>
      </c>
      <c r="J158" s="67"/>
      <c r="K158" s="64">
        <v>2</v>
      </c>
      <c r="L158" s="65"/>
      <c r="M158" s="65">
        <v>2</v>
      </c>
      <c r="N158" s="65"/>
      <c r="O158" s="65">
        <v>2</v>
      </c>
      <c r="P158" s="65"/>
      <c r="Q158" s="64">
        <v>2</v>
      </c>
      <c r="R158" s="64"/>
      <c r="S158" s="65">
        <v>2</v>
      </c>
      <c r="T158" s="66"/>
      <c r="U158" s="64"/>
      <c r="V158" s="65"/>
      <c r="W158" s="65"/>
      <c r="X158" s="65"/>
      <c r="Y158" s="64"/>
      <c r="Z158" s="65"/>
      <c r="AA158" s="65"/>
      <c r="AB158" s="65"/>
      <c r="AC158" s="65"/>
      <c r="AD158" s="65"/>
      <c r="AE158" s="66" t="s">
        <v>21</v>
      </c>
      <c r="AM158" s="11"/>
      <c r="AN158" s="11"/>
      <c r="AO158" s="11"/>
      <c r="AP158" s="11"/>
      <c r="AQ158" s="11"/>
      <c r="AR158" s="11"/>
    </row>
    <row r="159" spans="1:44" s="4" customFormat="1">
      <c r="A159" s="84"/>
      <c r="B159" s="85"/>
      <c r="C159" s="71"/>
      <c r="D159" s="72"/>
      <c r="E159" s="72">
        <f t="shared" ref="E159" si="130">SUM(G159:X159)</f>
        <v>28</v>
      </c>
      <c r="F159" s="73"/>
      <c r="G159" s="71">
        <v>2</v>
      </c>
      <c r="H159" s="71">
        <v>2</v>
      </c>
      <c r="I159" s="71">
        <v>2</v>
      </c>
      <c r="J159" s="71">
        <v>2</v>
      </c>
      <c r="K159" s="71">
        <v>2</v>
      </c>
      <c r="L159" s="71">
        <v>2</v>
      </c>
      <c r="M159" s="71">
        <v>2</v>
      </c>
      <c r="N159" s="71">
        <v>2</v>
      </c>
      <c r="O159" s="71">
        <v>2</v>
      </c>
      <c r="P159" s="71">
        <v>2</v>
      </c>
      <c r="Q159" s="71">
        <v>2</v>
      </c>
      <c r="R159" s="71">
        <v>2</v>
      </c>
      <c r="S159" s="71">
        <v>2</v>
      </c>
      <c r="T159" s="73">
        <v>2</v>
      </c>
      <c r="U159" s="71"/>
      <c r="V159" s="72"/>
      <c r="W159" s="72"/>
      <c r="X159" s="72"/>
      <c r="Y159" s="71"/>
      <c r="Z159" s="72"/>
      <c r="AA159" s="72"/>
      <c r="AB159" s="72"/>
      <c r="AC159" s="72"/>
      <c r="AD159" s="72"/>
      <c r="AE159" s="76"/>
      <c r="AM159" s="12"/>
      <c r="AN159" s="96"/>
      <c r="AO159" s="184"/>
      <c r="AP159" s="184"/>
      <c r="AQ159" s="11"/>
      <c r="AR159" s="11"/>
    </row>
    <row r="160" spans="1:44" s="4" customFormat="1" ht="19.5" thickBot="1">
      <c r="A160" s="98"/>
      <c r="B160" s="89"/>
      <c r="C160" s="79"/>
      <c r="D160" s="80"/>
      <c r="E160" s="80"/>
      <c r="F160" s="81">
        <f t="shared" ref="F160" si="131">SUM(G160:X160)</f>
        <v>0</v>
      </c>
      <c r="G160" s="79"/>
      <c r="H160" s="80"/>
      <c r="I160" s="80"/>
      <c r="J160" s="79"/>
      <c r="K160" s="79"/>
      <c r="L160" s="80"/>
      <c r="M160" s="80"/>
      <c r="N160" s="80"/>
      <c r="O160" s="80"/>
      <c r="P160" s="80"/>
      <c r="Q160" s="79"/>
      <c r="R160" s="79"/>
      <c r="S160" s="80"/>
      <c r="T160" s="81"/>
      <c r="U160" s="86"/>
      <c r="V160" s="87"/>
      <c r="W160" s="87"/>
      <c r="X160" s="87"/>
      <c r="Y160" s="86"/>
      <c r="Z160" s="87"/>
      <c r="AA160" s="87"/>
      <c r="AB160" s="87"/>
      <c r="AC160" s="87"/>
      <c r="AD160" s="87"/>
      <c r="AE160" s="81">
        <v>9</v>
      </c>
      <c r="AM160" s="12"/>
      <c r="AN160" s="96"/>
      <c r="AO160" s="184"/>
      <c r="AP160" s="184"/>
      <c r="AQ160" s="11"/>
      <c r="AR160" s="11"/>
    </row>
    <row r="161" spans="1:44" ht="56.25">
      <c r="A161" s="82">
        <v>27</v>
      </c>
      <c r="B161" s="83" t="s">
        <v>64</v>
      </c>
      <c r="C161" s="64">
        <f t="shared" ref="C161" si="132">SUM(D161:F163)</f>
        <v>28</v>
      </c>
      <c r="D161" s="65">
        <f t="shared" ref="D161" si="133">SUM(G161:X161)</f>
        <v>14</v>
      </c>
      <c r="E161" s="65"/>
      <c r="F161" s="66"/>
      <c r="G161" s="67">
        <v>2</v>
      </c>
      <c r="H161" s="68"/>
      <c r="I161" s="68">
        <v>2</v>
      </c>
      <c r="J161" s="67"/>
      <c r="K161" s="64">
        <v>2</v>
      </c>
      <c r="L161" s="65"/>
      <c r="M161" s="65">
        <v>2</v>
      </c>
      <c r="N161" s="65"/>
      <c r="O161" s="65">
        <v>2</v>
      </c>
      <c r="P161" s="65"/>
      <c r="Q161" s="64">
        <v>2</v>
      </c>
      <c r="R161" s="64"/>
      <c r="S161" s="65">
        <v>2</v>
      </c>
      <c r="T161" s="66"/>
      <c r="U161" s="64"/>
      <c r="V161" s="65"/>
      <c r="W161" s="65"/>
      <c r="X161" s="65"/>
      <c r="Y161" s="64"/>
      <c r="Z161" s="65"/>
      <c r="AA161" s="65"/>
      <c r="AB161" s="65"/>
      <c r="AC161" s="65"/>
      <c r="AD161" s="65"/>
      <c r="AE161" s="66" t="s">
        <v>21</v>
      </c>
    </row>
    <row r="162" spans="1:44">
      <c r="A162" s="84"/>
      <c r="B162" s="85"/>
      <c r="C162" s="71"/>
      <c r="D162" s="72"/>
      <c r="E162" s="72">
        <f t="shared" ref="E162" si="134">SUM(G162:X162)</f>
        <v>14</v>
      </c>
      <c r="F162" s="73"/>
      <c r="G162" s="71"/>
      <c r="H162" s="71">
        <v>2</v>
      </c>
      <c r="I162" s="71"/>
      <c r="J162" s="71">
        <v>2</v>
      </c>
      <c r="K162" s="71"/>
      <c r="L162" s="71">
        <v>2</v>
      </c>
      <c r="M162" s="71"/>
      <c r="N162" s="71">
        <v>2</v>
      </c>
      <c r="O162" s="71"/>
      <c r="P162" s="71">
        <v>2</v>
      </c>
      <c r="Q162" s="71"/>
      <c r="R162" s="71">
        <v>2</v>
      </c>
      <c r="S162" s="71"/>
      <c r="T162" s="73">
        <v>2</v>
      </c>
      <c r="U162" s="71"/>
      <c r="V162" s="72"/>
      <c r="W162" s="72"/>
      <c r="X162" s="72"/>
      <c r="Y162" s="71"/>
      <c r="Z162" s="72"/>
      <c r="AA162" s="72"/>
      <c r="AB162" s="72"/>
      <c r="AC162" s="72"/>
      <c r="AD162" s="72"/>
      <c r="AE162" s="76"/>
    </row>
    <row r="163" spans="1:44" ht="19.5" thickBot="1">
      <c r="A163" s="98"/>
      <c r="B163" s="89"/>
      <c r="C163" s="79"/>
      <c r="D163" s="80"/>
      <c r="E163" s="80"/>
      <c r="F163" s="81">
        <f t="shared" ref="F163" si="135">SUM(G163:X163)</f>
        <v>0</v>
      </c>
      <c r="G163" s="86"/>
      <c r="H163" s="87"/>
      <c r="I163" s="86"/>
      <c r="J163" s="79"/>
      <c r="K163" s="86"/>
      <c r="L163" s="72"/>
      <c r="M163" s="72"/>
      <c r="N163" s="72"/>
      <c r="O163" s="72"/>
      <c r="P163" s="72"/>
      <c r="Q163" s="71"/>
      <c r="R163" s="71"/>
      <c r="S163" s="72"/>
      <c r="T163" s="73"/>
      <c r="U163" s="86"/>
      <c r="V163" s="87"/>
      <c r="W163" s="87"/>
      <c r="X163" s="87"/>
      <c r="Y163" s="86"/>
      <c r="Z163" s="87"/>
      <c r="AA163" s="87"/>
      <c r="AB163" s="87"/>
      <c r="AC163" s="87"/>
      <c r="AD163" s="87"/>
      <c r="AE163" s="81">
        <v>18</v>
      </c>
    </row>
    <row r="164" spans="1:44" ht="19.5" thickBot="1">
      <c r="A164" s="185" t="s">
        <v>66</v>
      </c>
      <c r="B164" s="186"/>
      <c r="C164" s="186"/>
      <c r="D164" s="186"/>
      <c r="E164" s="186"/>
      <c r="F164" s="186"/>
      <c r="G164" s="186"/>
      <c r="H164" s="186"/>
      <c r="I164" s="186"/>
      <c r="J164" s="186"/>
      <c r="K164" s="186"/>
      <c r="L164" s="186"/>
      <c r="M164" s="186"/>
      <c r="N164" s="186"/>
      <c r="O164" s="186"/>
      <c r="P164" s="186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  <c r="AD164" s="186"/>
      <c r="AE164" s="187"/>
    </row>
    <row r="165" spans="1:44" s="4" customFormat="1" ht="37.5">
      <c r="A165" s="82">
        <v>27</v>
      </c>
      <c r="B165" s="83" t="s">
        <v>23</v>
      </c>
      <c r="C165" s="64">
        <f t="shared" ref="C165" si="136">SUM(D165:F167)</f>
        <v>54</v>
      </c>
      <c r="D165" s="65">
        <f t="shared" ref="D165" si="137">SUM(G165:X165)</f>
        <v>18</v>
      </c>
      <c r="E165" s="65"/>
      <c r="F165" s="66"/>
      <c r="G165" s="67">
        <v>2</v>
      </c>
      <c r="H165" s="68"/>
      <c r="I165" s="68">
        <v>2</v>
      </c>
      <c r="J165" s="67"/>
      <c r="K165" s="64">
        <v>2</v>
      </c>
      <c r="L165" s="65"/>
      <c r="M165" s="65">
        <v>2</v>
      </c>
      <c r="N165" s="65"/>
      <c r="O165" s="65">
        <v>2</v>
      </c>
      <c r="P165" s="65"/>
      <c r="Q165" s="64">
        <v>2</v>
      </c>
      <c r="R165" s="64"/>
      <c r="S165" s="65">
        <v>2</v>
      </c>
      <c r="T165" s="65"/>
      <c r="U165" s="65">
        <v>2</v>
      </c>
      <c r="V165" s="65"/>
      <c r="W165" s="65">
        <v>2</v>
      </c>
      <c r="X165" s="66"/>
      <c r="Y165" s="64"/>
      <c r="Z165" s="65"/>
      <c r="AA165" s="65"/>
      <c r="AB165" s="65"/>
      <c r="AC165" s="65"/>
      <c r="AD165" s="65"/>
      <c r="AE165" s="66" t="s">
        <v>24</v>
      </c>
      <c r="AM165" s="11"/>
      <c r="AN165" s="11"/>
      <c r="AO165" s="11"/>
      <c r="AP165" s="11"/>
      <c r="AQ165" s="11"/>
      <c r="AR165" s="11"/>
    </row>
    <row r="166" spans="1:44" s="4" customFormat="1">
      <c r="A166" s="84"/>
      <c r="B166" s="85"/>
      <c r="C166" s="71"/>
      <c r="D166" s="72"/>
      <c r="E166" s="72">
        <f t="shared" ref="E166" si="138">SUM(G166:X166)</f>
        <v>24</v>
      </c>
      <c r="F166" s="73"/>
      <c r="G166" s="100">
        <v>2</v>
      </c>
      <c r="H166" s="100">
        <v>2</v>
      </c>
      <c r="I166" s="100">
        <v>2</v>
      </c>
      <c r="J166" s="100">
        <v>2</v>
      </c>
      <c r="K166" s="100">
        <v>2</v>
      </c>
      <c r="L166" s="100">
        <v>2</v>
      </c>
      <c r="M166" s="100">
        <v>2</v>
      </c>
      <c r="N166" s="100">
        <v>2</v>
      </c>
      <c r="O166" s="100">
        <v>2</v>
      </c>
      <c r="P166" s="100">
        <v>2</v>
      </c>
      <c r="Q166" s="100">
        <v>2</v>
      </c>
      <c r="R166" s="100">
        <v>2</v>
      </c>
      <c r="S166" s="100"/>
      <c r="T166" s="72"/>
      <c r="U166" s="72"/>
      <c r="V166" s="72"/>
      <c r="W166" s="72"/>
      <c r="X166" s="73"/>
      <c r="Y166" s="71"/>
      <c r="Z166" s="72"/>
      <c r="AA166" s="72"/>
      <c r="AB166" s="72"/>
      <c r="AC166" s="72"/>
      <c r="AD166" s="72"/>
      <c r="AE166" s="76"/>
      <c r="AM166" s="12"/>
      <c r="AN166" s="96"/>
      <c r="AO166" s="184"/>
      <c r="AP166" s="184"/>
      <c r="AQ166" s="11"/>
      <c r="AR166" s="11"/>
    </row>
    <row r="167" spans="1:44" s="4" customFormat="1" ht="19.5" thickBot="1">
      <c r="A167" s="167"/>
      <c r="B167" s="168"/>
      <c r="C167" s="169"/>
      <c r="D167" s="170"/>
      <c r="E167" s="170"/>
      <c r="F167" s="171">
        <f t="shared" ref="F167" si="139">SUM(G167:X167)</f>
        <v>12</v>
      </c>
      <c r="G167" s="100"/>
      <c r="H167" s="172"/>
      <c r="I167" s="100"/>
      <c r="J167" s="169"/>
      <c r="K167" s="100"/>
      <c r="L167" s="172"/>
      <c r="M167" s="172"/>
      <c r="N167" s="172"/>
      <c r="O167" s="172"/>
      <c r="P167" s="172"/>
      <c r="Q167" s="100"/>
      <c r="R167" s="100"/>
      <c r="S167" s="172">
        <v>2</v>
      </c>
      <c r="T167" s="172">
        <v>2</v>
      </c>
      <c r="U167" s="172">
        <v>2</v>
      </c>
      <c r="V167" s="172">
        <v>2</v>
      </c>
      <c r="W167" s="172">
        <v>2</v>
      </c>
      <c r="X167" s="173">
        <v>2</v>
      </c>
      <c r="Y167" s="100"/>
      <c r="Z167" s="172"/>
      <c r="AA167" s="172"/>
      <c r="AB167" s="172"/>
      <c r="AC167" s="172"/>
      <c r="AD167" s="172"/>
      <c r="AE167" s="171">
        <v>36</v>
      </c>
      <c r="AM167" s="12"/>
      <c r="AN167" s="96"/>
      <c r="AO167" s="184"/>
      <c r="AP167" s="184"/>
      <c r="AQ167" s="11"/>
      <c r="AR167" s="11"/>
    </row>
    <row r="168" spans="1:44" ht="54.75" customHeight="1" thickBot="1">
      <c r="A168" s="188" t="s">
        <v>73</v>
      </c>
      <c r="B168" s="188"/>
      <c r="C168" s="188"/>
      <c r="D168" s="188"/>
      <c r="E168" s="188"/>
      <c r="F168" s="188"/>
      <c r="G168" s="188"/>
      <c r="H168" s="188"/>
      <c r="I168" s="188"/>
      <c r="J168" s="188"/>
      <c r="K168" s="188"/>
      <c r="L168" s="188"/>
      <c r="M168" s="188"/>
      <c r="N168" s="188"/>
      <c r="O168" s="188"/>
      <c r="P168" s="188"/>
      <c r="Q168" s="188"/>
      <c r="R168" s="188"/>
      <c r="S168" s="188"/>
      <c r="T168" s="188"/>
      <c r="U168" s="188"/>
      <c r="V168" s="188"/>
      <c r="W168" s="188"/>
      <c r="X168" s="188"/>
      <c r="Y168" s="188"/>
      <c r="Z168" s="188"/>
      <c r="AA168" s="188"/>
      <c r="AB168" s="188"/>
      <c r="AC168" s="188"/>
      <c r="AD168" s="188"/>
      <c r="AE168" s="188"/>
    </row>
    <row r="169" spans="1:44" s="4" customFormat="1" ht="30" customHeight="1" thickBot="1">
      <c r="A169" s="189" t="s">
        <v>81</v>
      </c>
      <c r="B169" s="189"/>
      <c r="C169" s="189"/>
      <c r="D169" s="189"/>
      <c r="E169" s="189"/>
      <c r="F169" s="189"/>
      <c r="G169" s="179"/>
      <c r="H169" s="179"/>
      <c r="I169" s="179"/>
      <c r="J169" s="179"/>
      <c r="K169" s="179"/>
      <c r="L169" s="179"/>
      <c r="M169" s="179"/>
      <c r="N169" s="179"/>
      <c r="O169" s="179"/>
      <c r="P169" s="179"/>
      <c r="Q169" s="189"/>
      <c r="R169" s="179"/>
      <c r="S169" s="189"/>
      <c r="T169" s="189"/>
      <c r="U169" s="189"/>
      <c r="V169" s="189"/>
      <c r="W169" s="189"/>
      <c r="X169" s="189"/>
      <c r="Y169" s="189"/>
      <c r="Z169" s="189"/>
      <c r="AA169" s="189"/>
      <c r="AB169" s="189"/>
      <c r="AC169" s="189"/>
      <c r="AD169" s="189"/>
      <c r="AE169" s="189"/>
    </row>
    <row r="170" spans="1:44" s="4" customFormat="1" ht="37.5">
      <c r="A170" s="118">
        <v>27</v>
      </c>
      <c r="B170" s="119" t="s">
        <v>23</v>
      </c>
      <c r="C170" s="116">
        <f>SUM(D170:F172)</f>
        <v>30</v>
      </c>
      <c r="D170" s="111">
        <f>SUM(K170:Q170)</f>
        <v>10</v>
      </c>
      <c r="E170" s="111"/>
      <c r="F170" s="149"/>
      <c r="G170" s="175"/>
      <c r="H170" s="176"/>
      <c r="I170" s="176"/>
      <c r="J170" s="177"/>
      <c r="K170" s="116">
        <v>2</v>
      </c>
      <c r="L170" s="111">
        <v>2</v>
      </c>
      <c r="M170" s="111">
        <v>2</v>
      </c>
      <c r="N170" s="111">
        <v>2</v>
      </c>
      <c r="O170" s="111">
        <v>2</v>
      </c>
      <c r="P170" s="111"/>
      <c r="Q170" s="113"/>
      <c r="R170" s="175"/>
      <c r="S170" s="150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3" t="s">
        <v>21</v>
      </c>
      <c r="AM170" s="11"/>
      <c r="AN170" s="11"/>
      <c r="AO170" s="11"/>
      <c r="AP170" s="11"/>
      <c r="AQ170" s="11"/>
      <c r="AR170" s="11"/>
    </row>
    <row r="171" spans="1:44" s="4" customFormat="1">
      <c r="A171" s="125"/>
      <c r="B171" s="126"/>
      <c r="C171" s="103"/>
      <c r="D171" s="104"/>
      <c r="E171" s="104">
        <f>SUM(K171:Q171)</f>
        <v>12</v>
      </c>
      <c r="F171" s="128"/>
      <c r="G171" s="178"/>
      <c r="H171" s="179"/>
      <c r="I171" s="179"/>
      <c r="J171" s="180"/>
      <c r="K171" s="103">
        <v>4</v>
      </c>
      <c r="L171" s="104">
        <v>2</v>
      </c>
      <c r="M171" s="104">
        <v>4</v>
      </c>
      <c r="N171" s="104">
        <v>2</v>
      </c>
      <c r="O171" s="104"/>
      <c r="P171" s="104"/>
      <c r="Q171" s="105"/>
      <c r="R171" s="178"/>
      <c r="S171" s="151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32"/>
      <c r="AM171" s="12"/>
      <c r="AN171" s="96"/>
      <c r="AO171" s="184"/>
      <c r="AP171" s="184"/>
      <c r="AQ171" s="11"/>
      <c r="AR171" s="11"/>
    </row>
    <row r="172" spans="1:44" s="4" customFormat="1" ht="19.5" thickBot="1">
      <c r="A172" s="133"/>
      <c r="B172" s="155"/>
      <c r="C172" s="156"/>
      <c r="D172" s="157"/>
      <c r="E172" s="157"/>
      <c r="F172" s="158">
        <f>SUM(K172:Q172)</f>
        <v>8</v>
      </c>
      <c r="G172" s="178"/>
      <c r="H172" s="179"/>
      <c r="I172" s="179"/>
      <c r="J172" s="180"/>
      <c r="K172" s="159"/>
      <c r="L172" s="160"/>
      <c r="M172" s="160"/>
      <c r="N172" s="160"/>
      <c r="O172" s="160">
        <v>2</v>
      </c>
      <c r="P172" s="160">
        <v>2</v>
      </c>
      <c r="Q172" s="161">
        <v>4</v>
      </c>
      <c r="R172" s="178"/>
      <c r="S172" s="162"/>
      <c r="T172" s="160"/>
      <c r="U172" s="160"/>
      <c r="V172" s="160"/>
      <c r="W172" s="160"/>
      <c r="X172" s="160"/>
      <c r="Y172" s="160"/>
      <c r="Z172" s="160"/>
      <c r="AA172" s="160"/>
      <c r="AB172" s="160"/>
      <c r="AC172" s="160"/>
      <c r="AD172" s="160"/>
      <c r="AE172" s="163">
        <v>9</v>
      </c>
      <c r="AM172" s="12"/>
      <c r="AN172" s="96"/>
      <c r="AO172" s="184"/>
      <c r="AP172" s="184"/>
      <c r="AQ172" s="11"/>
      <c r="AR172" s="11"/>
    </row>
    <row r="173" spans="1:44" s="4" customFormat="1" ht="30" customHeight="1" thickBot="1">
      <c r="A173" s="190" t="s">
        <v>82</v>
      </c>
      <c r="B173" s="191"/>
      <c r="C173" s="191"/>
      <c r="D173" s="191"/>
      <c r="E173" s="191"/>
      <c r="F173" s="191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91"/>
      <c r="R173" s="191"/>
      <c r="S173" s="191"/>
      <c r="T173" s="191"/>
      <c r="U173" s="191"/>
      <c r="V173" s="191"/>
      <c r="W173" s="191"/>
      <c r="X173" s="191"/>
      <c r="Y173" s="191"/>
      <c r="Z173" s="191"/>
      <c r="AA173" s="191"/>
      <c r="AB173" s="191"/>
      <c r="AC173" s="191"/>
      <c r="AD173" s="191"/>
      <c r="AE173" s="192"/>
    </row>
    <row r="174" spans="1:44" s="4" customFormat="1" ht="37.5">
      <c r="A174" s="118">
        <v>27</v>
      </c>
      <c r="B174" s="119" t="s">
        <v>23</v>
      </c>
      <c r="C174" s="116">
        <f t="shared" ref="C174" si="140">SUM(D174:F176)</f>
        <v>30</v>
      </c>
      <c r="D174" s="111">
        <f t="shared" ref="D174" si="141">SUM(G174:H174,M174:Q174)</f>
        <v>10</v>
      </c>
      <c r="E174" s="111"/>
      <c r="F174" s="113"/>
      <c r="G174" s="165">
        <v>2</v>
      </c>
      <c r="H174" s="166">
        <v>2</v>
      </c>
      <c r="I174" s="175"/>
      <c r="J174" s="176"/>
      <c r="K174" s="176"/>
      <c r="L174" s="177"/>
      <c r="M174" s="116">
        <v>2</v>
      </c>
      <c r="N174" s="111">
        <v>2</v>
      </c>
      <c r="O174" s="111">
        <v>2</v>
      </c>
      <c r="P174" s="111"/>
      <c r="Q174" s="113"/>
      <c r="R174" s="116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3" t="s">
        <v>21</v>
      </c>
      <c r="AM174" s="11"/>
      <c r="AN174" s="11"/>
      <c r="AO174" s="11"/>
      <c r="AP174" s="11"/>
      <c r="AQ174" s="11"/>
      <c r="AR174" s="11"/>
    </row>
    <row r="175" spans="1:44" s="4" customFormat="1">
      <c r="A175" s="125"/>
      <c r="B175" s="126"/>
      <c r="C175" s="103"/>
      <c r="D175" s="104"/>
      <c r="E175" s="104">
        <f t="shared" ref="E175" si="142">SUM(G175:H175,M175:Q175)</f>
        <v>12</v>
      </c>
      <c r="F175" s="105"/>
      <c r="G175" s="152">
        <v>4</v>
      </c>
      <c r="H175" s="153">
        <v>2</v>
      </c>
      <c r="I175" s="178"/>
      <c r="J175" s="179"/>
      <c r="K175" s="179"/>
      <c r="L175" s="180"/>
      <c r="M175" s="103">
        <v>4</v>
      </c>
      <c r="N175" s="104">
        <v>2</v>
      </c>
      <c r="O175" s="104"/>
      <c r="P175" s="104"/>
      <c r="Q175" s="105"/>
      <c r="R175" s="103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32"/>
      <c r="AM175" s="12"/>
      <c r="AN175" s="96"/>
      <c r="AO175" s="184"/>
      <c r="AP175" s="184"/>
      <c r="AQ175" s="11"/>
      <c r="AR175" s="11"/>
    </row>
    <row r="176" spans="1:44" s="4" customFormat="1" ht="19.5" thickBot="1">
      <c r="A176" s="164"/>
      <c r="B176" s="134"/>
      <c r="C176" s="106"/>
      <c r="D176" s="107"/>
      <c r="E176" s="107"/>
      <c r="F176" s="115">
        <f t="shared" ref="F176" si="143">SUM(G176:H176,M176:Q176)</f>
        <v>8</v>
      </c>
      <c r="G176" s="137"/>
      <c r="H176" s="154"/>
      <c r="I176" s="181"/>
      <c r="J176" s="182"/>
      <c r="K176" s="182"/>
      <c r="L176" s="183"/>
      <c r="M176" s="108"/>
      <c r="N176" s="109"/>
      <c r="O176" s="109">
        <v>2</v>
      </c>
      <c r="P176" s="109">
        <v>2</v>
      </c>
      <c r="Q176" s="110">
        <v>4</v>
      </c>
      <c r="R176" s="108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15">
        <v>9</v>
      </c>
      <c r="AM176" s="12"/>
      <c r="AN176" s="96"/>
      <c r="AO176" s="184"/>
      <c r="AP176" s="184"/>
      <c r="AQ176" s="11"/>
      <c r="AR176" s="11"/>
    </row>
    <row r="177" spans="1:44" s="4" customFormat="1" ht="26.25" customHeight="1" thickBot="1">
      <c r="A177" s="189" t="s">
        <v>83</v>
      </c>
      <c r="B177" s="189"/>
      <c r="C177" s="189"/>
      <c r="D177" s="189"/>
      <c r="E177" s="189"/>
      <c r="F177" s="189"/>
      <c r="G177" s="179"/>
      <c r="H177" s="179"/>
      <c r="I177" s="179"/>
      <c r="J177" s="179"/>
      <c r="K177" s="179"/>
      <c r="L177" s="179"/>
      <c r="M177" s="179"/>
      <c r="N177" s="179"/>
      <c r="O177" s="179"/>
      <c r="P177" s="179"/>
      <c r="Q177" s="189"/>
      <c r="R177" s="189"/>
      <c r="S177" s="189"/>
      <c r="T177" s="189"/>
      <c r="U177" s="189"/>
      <c r="V177" s="189"/>
      <c r="W177" s="189"/>
      <c r="X177" s="189"/>
      <c r="Y177" s="189"/>
      <c r="Z177" s="189"/>
      <c r="AA177" s="189"/>
      <c r="AB177" s="189"/>
      <c r="AC177" s="189"/>
      <c r="AD177" s="189"/>
      <c r="AE177" s="189"/>
    </row>
    <row r="178" spans="1:44" s="4" customFormat="1" ht="37.5">
      <c r="A178" s="118">
        <v>27</v>
      </c>
      <c r="B178" s="119" t="s">
        <v>23</v>
      </c>
      <c r="C178" s="116">
        <f>SUM(D178:F180)</f>
        <v>30</v>
      </c>
      <c r="D178" s="111">
        <f>SUM(G178:J178,O178:Q178)</f>
        <v>10</v>
      </c>
      <c r="E178" s="111"/>
      <c r="F178" s="113"/>
      <c r="G178" s="116">
        <v>2</v>
      </c>
      <c r="H178" s="111">
        <v>2</v>
      </c>
      <c r="I178" s="111">
        <v>2</v>
      </c>
      <c r="J178" s="149">
        <v>2</v>
      </c>
      <c r="K178" s="175"/>
      <c r="L178" s="176"/>
      <c r="M178" s="176"/>
      <c r="N178" s="177"/>
      <c r="O178" s="116">
        <v>2</v>
      </c>
      <c r="P178" s="111"/>
      <c r="Q178" s="113"/>
      <c r="R178" s="116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3" t="s">
        <v>21</v>
      </c>
      <c r="AM178" s="11"/>
      <c r="AN178" s="11"/>
      <c r="AO178" s="11"/>
      <c r="AP178" s="11"/>
      <c r="AQ178" s="11"/>
      <c r="AR178" s="11"/>
    </row>
    <row r="179" spans="1:44" s="4" customFormat="1">
      <c r="A179" s="125"/>
      <c r="B179" s="126"/>
      <c r="C179" s="103"/>
      <c r="D179" s="104"/>
      <c r="E179" s="104">
        <f>SUM(G179:J179,O179:Q179)</f>
        <v>12</v>
      </c>
      <c r="F179" s="105"/>
      <c r="G179" s="103">
        <v>4</v>
      </c>
      <c r="H179" s="104">
        <v>2</v>
      </c>
      <c r="I179" s="104">
        <v>4</v>
      </c>
      <c r="J179" s="128">
        <v>2</v>
      </c>
      <c r="K179" s="178"/>
      <c r="L179" s="179"/>
      <c r="M179" s="179"/>
      <c r="N179" s="180"/>
      <c r="O179" s="103"/>
      <c r="P179" s="104"/>
      <c r="Q179" s="105"/>
      <c r="R179" s="103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32"/>
      <c r="AM179" s="12"/>
      <c r="AN179" s="96"/>
      <c r="AO179" s="184"/>
      <c r="AP179" s="184"/>
      <c r="AQ179" s="11"/>
      <c r="AR179" s="11"/>
    </row>
    <row r="180" spans="1:44" s="4" customFormat="1" ht="19.5" thickBot="1">
      <c r="A180" s="133"/>
      <c r="B180" s="134"/>
      <c r="C180" s="106"/>
      <c r="D180" s="107"/>
      <c r="E180" s="107"/>
      <c r="F180" s="115">
        <f>SUM(G180:J180,O180:Q180)</f>
        <v>8</v>
      </c>
      <c r="G180" s="108"/>
      <c r="H180" s="109"/>
      <c r="I180" s="109"/>
      <c r="J180" s="138"/>
      <c r="K180" s="181"/>
      <c r="L180" s="182"/>
      <c r="M180" s="182"/>
      <c r="N180" s="183"/>
      <c r="O180" s="108">
        <v>2</v>
      </c>
      <c r="P180" s="109">
        <v>2</v>
      </c>
      <c r="Q180" s="110">
        <v>4</v>
      </c>
      <c r="R180" s="108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15">
        <v>9</v>
      </c>
      <c r="AM180" s="12"/>
      <c r="AN180" s="96"/>
      <c r="AO180" s="184"/>
      <c r="AP180" s="184"/>
      <c r="AQ180" s="11"/>
      <c r="AR180" s="11"/>
    </row>
    <row r="181" spans="1:44" s="4" customFormat="1" ht="19.5" thickBot="1">
      <c r="A181" s="189" t="s">
        <v>84</v>
      </c>
      <c r="B181" s="189"/>
      <c r="C181" s="189"/>
      <c r="D181" s="189"/>
      <c r="E181" s="189"/>
      <c r="F181" s="189"/>
      <c r="G181" s="189"/>
      <c r="H181" s="189"/>
      <c r="I181" s="189"/>
      <c r="J181" s="189"/>
      <c r="K181" s="179"/>
      <c r="L181" s="179"/>
      <c r="M181" s="179"/>
      <c r="N181" s="179"/>
      <c r="O181" s="179"/>
      <c r="P181" s="179"/>
      <c r="Q181" s="189"/>
      <c r="R181" s="189"/>
      <c r="S181" s="189"/>
      <c r="T181" s="189"/>
      <c r="U181" s="189"/>
      <c r="V181" s="189"/>
      <c r="W181" s="189"/>
      <c r="X181" s="189"/>
      <c r="Y181" s="189"/>
      <c r="Z181" s="189"/>
      <c r="AA181" s="189"/>
      <c r="AB181" s="189"/>
      <c r="AC181" s="189"/>
      <c r="AD181" s="189"/>
      <c r="AE181" s="189"/>
      <c r="AM181" s="12"/>
      <c r="AN181" s="96"/>
      <c r="AO181" s="174"/>
      <c r="AP181" s="174"/>
      <c r="AQ181" s="11"/>
      <c r="AR181" s="11"/>
    </row>
    <row r="182" spans="1:44" ht="37.5">
      <c r="A182" s="82">
        <v>27</v>
      </c>
      <c r="B182" s="83" t="s">
        <v>20</v>
      </c>
      <c r="C182" s="64">
        <f t="shared" ref="C182" si="144">SUM(D182:F184)</f>
        <v>54</v>
      </c>
      <c r="D182" s="65">
        <f t="shared" ref="D182" si="145">SUM(G182:AD182)</f>
        <v>18</v>
      </c>
      <c r="E182" s="65"/>
      <c r="F182" s="66"/>
      <c r="G182" s="67">
        <v>2</v>
      </c>
      <c r="H182" s="68"/>
      <c r="I182" s="68">
        <v>2</v>
      </c>
      <c r="J182" s="67"/>
      <c r="K182" s="64">
        <v>2</v>
      </c>
      <c r="L182" s="65"/>
      <c r="M182" s="65">
        <v>2</v>
      </c>
      <c r="N182" s="65"/>
      <c r="O182" s="65">
        <v>2</v>
      </c>
      <c r="P182" s="65"/>
      <c r="Q182" s="64">
        <v>2</v>
      </c>
      <c r="R182" s="64"/>
      <c r="S182" s="65">
        <v>2</v>
      </c>
      <c r="T182" s="65"/>
      <c r="U182" s="65">
        <v>2</v>
      </c>
      <c r="V182" s="65"/>
      <c r="W182" s="65">
        <v>2</v>
      </c>
      <c r="X182" s="65"/>
      <c r="Y182" s="65"/>
      <c r="Z182" s="65"/>
      <c r="AA182" s="65"/>
      <c r="AB182" s="65"/>
      <c r="AC182" s="65"/>
      <c r="AD182" s="65"/>
      <c r="AE182" s="66" t="s">
        <v>68</v>
      </c>
    </row>
    <row r="183" spans="1:44">
      <c r="A183" s="84"/>
      <c r="B183" s="85"/>
      <c r="C183" s="71"/>
      <c r="D183" s="72"/>
      <c r="E183" s="72">
        <f t="shared" ref="E183" si="146">SUM(G183:AD183)</f>
        <v>34</v>
      </c>
      <c r="F183" s="73"/>
      <c r="G183" s="100">
        <v>2</v>
      </c>
      <c r="H183" s="100">
        <v>2</v>
      </c>
      <c r="I183" s="100">
        <v>2</v>
      </c>
      <c r="J183" s="72">
        <v>2</v>
      </c>
      <c r="K183" s="100">
        <v>2</v>
      </c>
      <c r="L183" s="100">
        <v>2</v>
      </c>
      <c r="M183" s="100">
        <v>2</v>
      </c>
      <c r="N183" s="100">
        <v>2</v>
      </c>
      <c r="O183" s="100">
        <v>2</v>
      </c>
      <c r="P183" s="100">
        <v>2</v>
      </c>
      <c r="Q183" s="100">
        <v>2</v>
      </c>
      <c r="R183" s="100">
        <v>2</v>
      </c>
      <c r="S183" s="100">
        <v>2</v>
      </c>
      <c r="T183" s="100">
        <v>2</v>
      </c>
      <c r="U183" s="100">
        <v>2</v>
      </c>
      <c r="V183" s="100">
        <v>2</v>
      </c>
      <c r="W183" s="100">
        <v>2</v>
      </c>
      <c r="X183" s="72"/>
      <c r="Y183" s="72"/>
      <c r="Z183" s="72"/>
      <c r="AA183" s="72"/>
      <c r="AB183" s="72"/>
      <c r="AC183" s="72"/>
      <c r="AD183" s="72"/>
      <c r="AE183" s="76"/>
    </row>
    <row r="184" spans="1:44" ht="19.5" thickBot="1">
      <c r="A184" s="88"/>
      <c r="B184" s="89"/>
      <c r="C184" s="79"/>
      <c r="D184" s="80"/>
      <c r="E184" s="80"/>
      <c r="F184" s="81">
        <f t="shared" ref="F184" si="147">SUM(G184:AD184)</f>
        <v>2</v>
      </c>
      <c r="G184" s="86"/>
      <c r="H184" s="87"/>
      <c r="I184" s="86"/>
      <c r="J184" s="79"/>
      <c r="K184" s="86"/>
      <c r="L184" s="87"/>
      <c r="M184" s="87"/>
      <c r="N184" s="87"/>
      <c r="O184" s="87"/>
      <c r="P184" s="87"/>
      <c r="Q184" s="86"/>
      <c r="R184" s="86"/>
      <c r="S184" s="87"/>
      <c r="T184" s="87"/>
      <c r="U184" s="87"/>
      <c r="V184" s="87"/>
      <c r="W184" s="87"/>
      <c r="X184" s="87">
        <v>2</v>
      </c>
      <c r="Y184" s="87"/>
      <c r="Z184" s="87"/>
      <c r="AA184" s="87"/>
      <c r="AB184" s="87"/>
      <c r="AC184" s="87"/>
      <c r="AD184" s="87"/>
      <c r="AE184" s="81">
        <v>9</v>
      </c>
    </row>
    <row r="185" spans="1:44" ht="19.5" customHeight="1" thickBot="1">
      <c r="A185" s="185" t="s">
        <v>74</v>
      </c>
      <c r="B185" s="186"/>
      <c r="C185" s="186"/>
      <c r="D185" s="186"/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186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AA185" s="186"/>
      <c r="AB185" s="186"/>
      <c r="AC185" s="186"/>
      <c r="AD185" s="186"/>
      <c r="AE185" s="187"/>
    </row>
    <row r="186" spans="1:44" s="4" customFormat="1" ht="75">
      <c r="A186" s="62">
        <v>27</v>
      </c>
      <c r="B186" s="63" t="s">
        <v>56</v>
      </c>
      <c r="C186" s="64">
        <f>SUM(D186:F188)</f>
        <v>48</v>
      </c>
      <c r="D186" s="65">
        <f>SUM(G186:AD186)</f>
        <v>24</v>
      </c>
      <c r="E186" s="65"/>
      <c r="F186" s="66"/>
      <c r="G186" s="67">
        <v>4</v>
      </c>
      <c r="H186" s="68">
        <v>2</v>
      </c>
      <c r="I186" s="68">
        <v>4</v>
      </c>
      <c r="J186" s="67">
        <v>2</v>
      </c>
      <c r="K186" s="64">
        <v>4</v>
      </c>
      <c r="L186" s="65">
        <v>2</v>
      </c>
      <c r="M186" s="111">
        <v>4</v>
      </c>
      <c r="N186" s="111">
        <v>2</v>
      </c>
      <c r="O186" s="113"/>
      <c r="P186" s="116"/>
      <c r="Q186" s="64"/>
      <c r="R186" s="64"/>
      <c r="S186" s="65"/>
      <c r="T186" s="65"/>
      <c r="U186" s="65"/>
      <c r="V186" s="65"/>
      <c r="W186" s="65"/>
      <c r="X186" s="65"/>
      <c r="Y186" s="65"/>
      <c r="Z186" s="65"/>
      <c r="AA186" s="65"/>
      <c r="AB186" s="65"/>
      <c r="AC186" s="65"/>
      <c r="AD186" s="65"/>
      <c r="AE186" s="66" t="s">
        <v>27</v>
      </c>
    </row>
    <row r="187" spans="1:44" s="4" customFormat="1" ht="19.5">
      <c r="A187" s="69"/>
      <c r="B187" s="70"/>
      <c r="C187" s="71"/>
      <c r="D187" s="72"/>
      <c r="E187" s="72">
        <f>SUM(G187:AD187)</f>
        <v>22</v>
      </c>
      <c r="F187" s="73"/>
      <c r="G187" s="71">
        <v>2</v>
      </c>
      <c r="H187" s="72">
        <v>4</v>
      </c>
      <c r="I187" s="72">
        <v>2</v>
      </c>
      <c r="J187" s="71">
        <v>4</v>
      </c>
      <c r="K187" s="74">
        <v>2</v>
      </c>
      <c r="L187" s="75">
        <v>4</v>
      </c>
      <c r="M187" s="112">
        <v>2</v>
      </c>
      <c r="N187" s="112">
        <v>2</v>
      </c>
      <c r="O187" s="114"/>
      <c r="P187" s="117"/>
      <c r="Q187" s="71"/>
      <c r="R187" s="71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6"/>
    </row>
    <row r="188" spans="1:44" s="4" customFormat="1" ht="21.75" customHeight="1" thickBot="1">
      <c r="A188" s="77"/>
      <c r="B188" s="78"/>
      <c r="C188" s="79"/>
      <c r="D188" s="80"/>
      <c r="E188" s="80"/>
      <c r="F188" s="81">
        <f>SUM(G188:AD188)</f>
        <v>2</v>
      </c>
      <c r="G188" s="79"/>
      <c r="H188" s="80"/>
      <c r="I188" s="80"/>
      <c r="J188" s="79"/>
      <c r="K188" s="79"/>
      <c r="L188" s="80"/>
      <c r="M188" s="107"/>
      <c r="N188" s="107"/>
      <c r="O188" s="115">
        <v>2</v>
      </c>
      <c r="P188" s="106"/>
      <c r="Q188" s="79"/>
      <c r="R188" s="79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1">
        <v>36</v>
      </c>
      <c r="AM188" s="11"/>
      <c r="AN188" s="11"/>
      <c r="AO188" s="11"/>
      <c r="AP188" s="11"/>
      <c r="AQ188" s="11"/>
      <c r="AR188" s="11"/>
    </row>
    <row r="189" spans="1:44" s="4" customFormat="1" ht="56.25">
      <c r="A189" s="82">
        <v>27</v>
      </c>
      <c r="B189" s="83" t="s">
        <v>67</v>
      </c>
      <c r="C189" s="64">
        <f t="shared" ref="C189" si="148">SUM(D189:F191)</f>
        <v>48</v>
      </c>
      <c r="D189" s="65">
        <f t="shared" ref="D189" si="149">SUM(G189:AD189)</f>
        <v>24</v>
      </c>
      <c r="E189" s="65"/>
      <c r="F189" s="66"/>
      <c r="G189" s="67">
        <v>4</v>
      </c>
      <c r="H189" s="68">
        <v>2</v>
      </c>
      <c r="I189" s="68">
        <v>4</v>
      </c>
      <c r="J189" s="67">
        <v>2</v>
      </c>
      <c r="K189" s="64">
        <v>4</v>
      </c>
      <c r="L189" s="65">
        <v>2</v>
      </c>
      <c r="M189" s="111">
        <v>2</v>
      </c>
      <c r="N189" s="111">
        <v>2</v>
      </c>
      <c r="O189" s="113">
        <v>2</v>
      </c>
      <c r="P189" s="116"/>
      <c r="Q189" s="64"/>
      <c r="R189" s="64"/>
      <c r="S189" s="65"/>
      <c r="T189" s="65"/>
      <c r="U189" s="65"/>
      <c r="V189" s="65"/>
      <c r="W189" s="65"/>
      <c r="X189" s="65"/>
      <c r="Y189" s="65"/>
      <c r="Z189" s="65"/>
      <c r="AA189" s="65"/>
      <c r="AB189" s="65"/>
      <c r="AC189" s="65"/>
      <c r="AD189" s="65"/>
      <c r="AE189" s="66" t="s">
        <v>68</v>
      </c>
      <c r="AM189" s="11"/>
      <c r="AN189" s="11"/>
      <c r="AO189" s="11"/>
      <c r="AP189" s="11"/>
      <c r="AQ189" s="11"/>
      <c r="AR189" s="11"/>
    </row>
    <row r="190" spans="1:44" s="4" customFormat="1">
      <c r="A190" s="84"/>
      <c r="B190" s="85"/>
      <c r="C190" s="71"/>
      <c r="D190" s="72"/>
      <c r="E190" s="72">
        <f t="shared" ref="E190" si="150">SUM(G190:AD190)</f>
        <v>24</v>
      </c>
      <c r="F190" s="73"/>
      <c r="G190" s="71">
        <v>2</v>
      </c>
      <c r="H190" s="72">
        <v>4</v>
      </c>
      <c r="I190" s="72">
        <v>2</v>
      </c>
      <c r="J190" s="71">
        <v>4</v>
      </c>
      <c r="K190" s="74">
        <v>2</v>
      </c>
      <c r="L190" s="75">
        <v>4</v>
      </c>
      <c r="M190" s="112">
        <v>2</v>
      </c>
      <c r="N190" s="112">
        <v>2</v>
      </c>
      <c r="O190" s="105">
        <v>2</v>
      </c>
      <c r="P190" s="103"/>
      <c r="Q190" s="71"/>
      <c r="R190" s="71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6"/>
      <c r="AM190" s="12"/>
      <c r="AN190" s="96"/>
      <c r="AO190" s="184"/>
      <c r="AP190" s="184"/>
      <c r="AQ190" s="11"/>
      <c r="AR190" s="11"/>
    </row>
    <row r="191" spans="1:44" s="4" customFormat="1" ht="19.5" thickBot="1">
      <c r="A191" s="84"/>
      <c r="B191" s="85"/>
      <c r="C191" s="79"/>
      <c r="D191" s="80"/>
      <c r="E191" s="80"/>
      <c r="F191" s="81">
        <f t="shared" ref="F191" si="151">SUM(G191:AD191)</f>
        <v>0</v>
      </c>
      <c r="G191" s="86"/>
      <c r="H191" s="87"/>
      <c r="I191" s="86"/>
      <c r="J191" s="79"/>
      <c r="K191" s="86"/>
      <c r="L191" s="72"/>
      <c r="M191" s="104"/>
      <c r="N191" s="104"/>
      <c r="O191" s="105"/>
      <c r="P191" s="103"/>
      <c r="Q191" s="71"/>
      <c r="R191" s="71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81">
        <v>18</v>
      </c>
      <c r="AM191" s="12"/>
      <c r="AN191" s="96"/>
      <c r="AO191" s="184"/>
      <c r="AP191" s="184"/>
      <c r="AQ191" s="11"/>
      <c r="AR191" s="11"/>
    </row>
    <row r="192" spans="1:44" s="4" customFormat="1" ht="75">
      <c r="A192" s="62">
        <v>27</v>
      </c>
      <c r="B192" s="63" t="s">
        <v>69</v>
      </c>
      <c r="C192" s="64">
        <f t="shared" ref="C192" si="152">SUM(D192:F194)</f>
        <v>64</v>
      </c>
      <c r="D192" s="65">
        <f t="shared" ref="D192" si="153">SUM(G192:AD192)</f>
        <v>32</v>
      </c>
      <c r="E192" s="65"/>
      <c r="F192" s="66"/>
      <c r="G192" s="67">
        <v>4</v>
      </c>
      <c r="H192" s="67">
        <v>4</v>
      </c>
      <c r="I192" s="67">
        <v>4</v>
      </c>
      <c r="J192" s="67">
        <v>4</v>
      </c>
      <c r="K192" s="65">
        <v>4</v>
      </c>
      <c r="L192" s="64">
        <v>4</v>
      </c>
      <c r="M192" s="64">
        <v>4</v>
      </c>
      <c r="N192" s="64">
        <v>2</v>
      </c>
      <c r="O192" s="66">
        <v>2</v>
      </c>
      <c r="P192" s="64"/>
      <c r="Q192" s="64"/>
      <c r="R192" s="64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6" t="s">
        <v>27</v>
      </c>
    </row>
    <row r="193" spans="1:44" s="4" customFormat="1" ht="19.5">
      <c r="A193" s="69"/>
      <c r="B193" s="70"/>
      <c r="C193" s="71"/>
      <c r="D193" s="72"/>
      <c r="E193" s="72">
        <f t="shared" ref="E193" si="154">SUM(G193:AD193)</f>
        <v>32</v>
      </c>
      <c r="F193" s="73"/>
      <c r="G193" s="71">
        <v>4</v>
      </c>
      <c r="H193" s="71">
        <v>4</v>
      </c>
      <c r="I193" s="71">
        <v>4</v>
      </c>
      <c r="J193" s="71">
        <v>4</v>
      </c>
      <c r="K193" s="71">
        <v>4</v>
      </c>
      <c r="L193" s="71">
        <v>4</v>
      </c>
      <c r="M193" s="71">
        <v>4</v>
      </c>
      <c r="N193" s="75">
        <v>2</v>
      </c>
      <c r="O193" s="102">
        <v>2</v>
      </c>
      <c r="P193" s="74"/>
      <c r="Q193" s="71"/>
      <c r="R193" s="71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6"/>
    </row>
    <row r="194" spans="1:44" s="4" customFormat="1" ht="21.75" customHeight="1" thickBot="1">
      <c r="A194" s="77"/>
      <c r="B194" s="78"/>
      <c r="C194" s="79"/>
      <c r="D194" s="80"/>
      <c r="E194" s="80"/>
      <c r="F194" s="81">
        <f t="shared" ref="F194" si="155">SUM(G194:AD194)</f>
        <v>0</v>
      </c>
      <c r="G194" s="79"/>
      <c r="H194" s="80"/>
      <c r="I194" s="80"/>
      <c r="J194" s="79"/>
      <c r="K194" s="79"/>
      <c r="L194" s="80"/>
      <c r="M194" s="80"/>
      <c r="N194" s="80"/>
      <c r="O194" s="81"/>
      <c r="P194" s="79"/>
      <c r="Q194" s="79"/>
      <c r="R194" s="79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1">
        <v>36</v>
      </c>
      <c r="AM194" s="11"/>
      <c r="AN194" s="11"/>
      <c r="AO194" s="11"/>
      <c r="AP194" s="11"/>
      <c r="AQ194" s="11"/>
      <c r="AR194" s="11"/>
    </row>
    <row r="195" spans="1:44" s="4" customFormat="1" ht="56.25">
      <c r="A195" s="82">
        <v>27</v>
      </c>
      <c r="B195" s="83" t="s">
        <v>70</v>
      </c>
      <c r="C195" s="64">
        <f t="shared" ref="C195" si="156">SUM(D195:F197)</f>
        <v>64</v>
      </c>
      <c r="D195" s="65">
        <f t="shared" ref="D195" si="157">SUM(G195:AD195)</f>
        <v>32</v>
      </c>
      <c r="E195" s="65"/>
      <c r="F195" s="66"/>
      <c r="G195" s="67">
        <v>4</v>
      </c>
      <c r="H195" s="67">
        <v>4</v>
      </c>
      <c r="I195" s="67">
        <v>4</v>
      </c>
      <c r="J195" s="67">
        <v>4</v>
      </c>
      <c r="K195" s="65">
        <v>4</v>
      </c>
      <c r="L195" s="64">
        <v>4</v>
      </c>
      <c r="M195" s="64">
        <v>4</v>
      </c>
      <c r="N195" s="64">
        <v>2</v>
      </c>
      <c r="O195" s="66">
        <v>2</v>
      </c>
      <c r="P195" s="64"/>
      <c r="Q195" s="64"/>
      <c r="R195" s="64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6" t="s">
        <v>68</v>
      </c>
      <c r="AM195" s="11"/>
      <c r="AN195" s="11"/>
      <c r="AO195" s="11"/>
      <c r="AP195" s="11"/>
      <c r="AQ195" s="11"/>
      <c r="AR195" s="11"/>
    </row>
    <row r="196" spans="1:44" s="4" customFormat="1">
      <c r="A196" s="84"/>
      <c r="B196" s="85"/>
      <c r="C196" s="71"/>
      <c r="D196" s="72"/>
      <c r="E196" s="72">
        <f t="shared" ref="E196" si="158">SUM(G196:AD196)</f>
        <v>32</v>
      </c>
      <c r="F196" s="73"/>
      <c r="G196" s="71">
        <v>4</v>
      </c>
      <c r="H196" s="71">
        <v>4</v>
      </c>
      <c r="I196" s="71">
        <v>4</v>
      </c>
      <c r="J196" s="71">
        <v>4</v>
      </c>
      <c r="K196" s="71">
        <v>4</v>
      </c>
      <c r="L196" s="71">
        <v>4</v>
      </c>
      <c r="M196" s="71">
        <v>4</v>
      </c>
      <c r="N196" s="75">
        <v>2</v>
      </c>
      <c r="O196" s="102">
        <v>2</v>
      </c>
      <c r="P196" s="71"/>
      <c r="Q196" s="71"/>
      <c r="R196" s="71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6"/>
      <c r="AM196" s="12"/>
      <c r="AN196" s="96"/>
      <c r="AO196" s="184"/>
      <c r="AP196" s="184"/>
      <c r="AQ196" s="11"/>
      <c r="AR196" s="11"/>
    </row>
    <row r="197" spans="1:44" s="4" customFormat="1" ht="19.5" thickBot="1">
      <c r="A197" s="88"/>
      <c r="B197" s="89"/>
      <c r="C197" s="79"/>
      <c r="D197" s="80"/>
      <c r="E197" s="80"/>
      <c r="F197" s="81">
        <f t="shared" ref="F197" si="159">SUM(G197:AD197)</f>
        <v>0</v>
      </c>
      <c r="G197" s="79"/>
      <c r="H197" s="80"/>
      <c r="I197" s="80"/>
      <c r="J197" s="79"/>
      <c r="K197" s="79"/>
      <c r="L197" s="80"/>
      <c r="M197" s="80"/>
      <c r="N197" s="80"/>
      <c r="O197" s="81"/>
      <c r="P197" s="86"/>
      <c r="Q197" s="86"/>
      <c r="R197" s="86"/>
      <c r="S197" s="87"/>
      <c r="T197" s="87"/>
      <c r="U197" s="87"/>
      <c r="V197" s="87"/>
      <c r="W197" s="87"/>
      <c r="X197" s="87"/>
      <c r="Y197" s="87"/>
      <c r="Z197" s="87"/>
      <c r="AA197" s="87"/>
      <c r="AB197" s="87"/>
      <c r="AC197" s="87"/>
      <c r="AD197" s="87"/>
      <c r="AE197" s="81">
        <v>9</v>
      </c>
      <c r="AM197" s="12"/>
      <c r="AN197" s="96"/>
      <c r="AO197" s="184"/>
      <c r="AP197" s="184"/>
      <c r="AQ197" s="11"/>
      <c r="AR197" s="11"/>
    </row>
    <row r="198" spans="1:44" s="4" customFormat="1" ht="75">
      <c r="A198" s="82">
        <v>27</v>
      </c>
      <c r="B198" s="83" t="s">
        <v>71</v>
      </c>
      <c r="C198" s="64">
        <f t="shared" ref="C198" si="160">SUM(D198:F200)</f>
        <v>16</v>
      </c>
      <c r="D198" s="65">
        <f t="shared" ref="D198" si="161">SUM(G198:AD198)</f>
        <v>6</v>
      </c>
      <c r="E198" s="65"/>
      <c r="F198" s="66"/>
      <c r="G198" s="67">
        <v>2</v>
      </c>
      <c r="H198" s="68"/>
      <c r="I198" s="68">
        <v>2</v>
      </c>
      <c r="J198" s="67"/>
      <c r="K198" s="64">
        <v>2</v>
      </c>
      <c r="L198" s="65"/>
      <c r="M198" s="65"/>
      <c r="N198" s="66"/>
      <c r="O198" s="64"/>
      <c r="P198" s="65"/>
      <c r="Q198" s="64"/>
      <c r="R198" s="64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6" t="s">
        <v>21</v>
      </c>
      <c r="AM198" s="11"/>
      <c r="AN198" s="11"/>
      <c r="AO198" s="11"/>
      <c r="AP198" s="11"/>
      <c r="AQ198" s="11"/>
      <c r="AR198" s="11"/>
    </row>
    <row r="199" spans="1:44" s="4" customFormat="1" ht="19.5">
      <c r="A199" s="84"/>
      <c r="B199" s="99" t="s">
        <v>72</v>
      </c>
      <c r="C199" s="71"/>
      <c r="D199" s="72"/>
      <c r="E199" s="72">
        <f t="shared" ref="E199" si="162">SUM(G199:AD199)</f>
        <v>10</v>
      </c>
      <c r="F199" s="73"/>
      <c r="G199" s="71"/>
      <c r="H199" s="72">
        <v>2</v>
      </c>
      <c r="I199" s="72"/>
      <c r="J199" s="71">
        <v>2</v>
      </c>
      <c r="K199" s="74"/>
      <c r="L199" s="75">
        <v>2</v>
      </c>
      <c r="M199" s="75"/>
      <c r="N199" s="102">
        <v>4</v>
      </c>
      <c r="O199" s="74"/>
      <c r="P199" s="75"/>
      <c r="Q199" s="71"/>
      <c r="R199" s="71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6"/>
      <c r="AM199" s="12"/>
      <c r="AN199" s="96"/>
      <c r="AO199" s="184"/>
      <c r="AP199" s="184"/>
      <c r="AQ199" s="11"/>
      <c r="AR199" s="11"/>
    </row>
    <row r="200" spans="1:44" s="4" customFormat="1" ht="19.5" thickBot="1">
      <c r="A200" s="88"/>
      <c r="B200" s="89"/>
      <c r="C200" s="79"/>
      <c r="D200" s="80"/>
      <c r="E200" s="80"/>
      <c r="F200" s="81">
        <f t="shared" ref="F200" si="163">SUM(G200:AD200)</f>
        <v>0</v>
      </c>
      <c r="G200" s="79"/>
      <c r="H200" s="80"/>
      <c r="I200" s="80"/>
      <c r="J200" s="79"/>
      <c r="K200" s="79"/>
      <c r="L200" s="80"/>
      <c r="M200" s="80"/>
      <c r="N200" s="81"/>
      <c r="O200" s="79"/>
      <c r="P200" s="80"/>
      <c r="Q200" s="86"/>
      <c r="R200" s="86"/>
      <c r="S200" s="87"/>
      <c r="T200" s="87"/>
      <c r="U200" s="87"/>
      <c r="V200" s="87"/>
      <c r="W200" s="87"/>
      <c r="X200" s="87"/>
      <c r="Y200" s="87"/>
      <c r="Z200" s="87"/>
      <c r="AA200" s="87"/>
      <c r="AB200" s="87"/>
      <c r="AC200" s="87"/>
      <c r="AD200" s="87"/>
      <c r="AE200" s="81">
        <v>9</v>
      </c>
      <c r="AM200" s="12"/>
      <c r="AN200" s="96"/>
      <c r="AO200" s="184"/>
      <c r="AP200" s="184"/>
      <c r="AQ200" s="11"/>
      <c r="AR200" s="11"/>
    </row>
    <row r="201" spans="1:44" ht="19.5" thickBot="1">
      <c r="A201" s="185" t="s">
        <v>76</v>
      </c>
      <c r="B201" s="186"/>
      <c r="C201" s="186"/>
      <c r="D201" s="186"/>
      <c r="E201" s="186"/>
      <c r="F201" s="186"/>
      <c r="G201" s="186"/>
      <c r="H201" s="186"/>
      <c r="I201" s="186"/>
      <c r="J201" s="186"/>
      <c r="K201" s="186"/>
      <c r="L201" s="186"/>
      <c r="M201" s="186"/>
      <c r="N201" s="186"/>
      <c r="O201" s="186"/>
      <c r="P201" s="186"/>
      <c r="Q201" s="186"/>
      <c r="R201" s="186"/>
      <c r="S201" s="186"/>
      <c r="T201" s="186"/>
      <c r="U201" s="186"/>
      <c r="V201" s="186"/>
      <c r="W201" s="186"/>
      <c r="X201" s="186"/>
      <c r="Y201" s="186"/>
      <c r="Z201" s="186"/>
      <c r="AA201" s="186"/>
      <c r="AB201" s="186"/>
      <c r="AC201" s="186"/>
      <c r="AD201" s="186"/>
      <c r="AE201" s="187"/>
    </row>
    <row r="202" spans="1:44" s="4" customFormat="1" ht="37.5">
      <c r="A202" s="82">
        <v>27</v>
      </c>
      <c r="B202" s="83" t="s">
        <v>23</v>
      </c>
      <c r="C202" s="64">
        <f t="shared" ref="C202" si="164">SUM(D202:F204)</f>
        <v>48</v>
      </c>
      <c r="D202" s="65">
        <f t="shared" ref="D202" si="165">SUM(G202:AD202)</f>
        <v>24</v>
      </c>
      <c r="E202" s="65"/>
      <c r="F202" s="66"/>
      <c r="G202" s="67">
        <v>4</v>
      </c>
      <c r="H202" s="67">
        <v>2</v>
      </c>
      <c r="I202" s="67">
        <v>4</v>
      </c>
      <c r="J202" s="67">
        <v>2</v>
      </c>
      <c r="K202" s="67">
        <v>4</v>
      </c>
      <c r="L202" s="67">
        <v>2</v>
      </c>
      <c r="M202" s="67">
        <v>4</v>
      </c>
      <c r="N202" s="67">
        <v>2</v>
      </c>
      <c r="O202" s="113"/>
      <c r="P202" s="64"/>
      <c r="Q202" s="64"/>
      <c r="R202" s="64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6" t="s">
        <v>57</v>
      </c>
      <c r="AM202" s="11"/>
      <c r="AN202" s="11"/>
      <c r="AO202" s="11"/>
      <c r="AP202" s="11"/>
      <c r="AQ202" s="11"/>
      <c r="AR202" s="11"/>
    </row>
    <row r="203" spans="1:44" s="4" customFormat="1">
      <c r="A203" s="84"/>
      <c r="B203" s="85"/>
      <c r="C203" s="71"/>
      <c r="D203" s="72"/>
      <c r="E203" s="72">
        <f t="shared" ref="E203" si="166">SUM(G203:AD203)</f>
        <v>14</v>
      </c>
      <c r="F203" s="73"/>
      <c r="G203" s="71">
        <v>2</v>
      </c>
      <c r="H203" s="71">
        <v>4</v>
      </c>
      <c r="I203" s="71">
        <v>2</v>
      </c>
      <c r="J203" s="71">
        <v>4</v>
      </c>
      <c r="K203" s="71">
        <v>2</v>
      </c>
      <c r="L203" s="71"/>
      <c r="M203" s="71"/>
      <c r="N203" s="71"/>
      <c r="O203" s="114"/>
      <c r="P203" s="74"/>
      <c r="Q203" s="71"/>
      <c r="R203" s="71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6"/>
      <c r="AM203" s="12"/>
      <c r="AN203" s="96"/>
      <c r="AO203" s="184"/>
      <c r="AP203" s="184"/>
      <c r="AQ203" s="11"/>
      <c r="AR203" s="11"/>
    </row>
    <row r="204" spans="1:44" s="4" customFormat="1" ht="19.5" thickBot="1">
      <c r="A204" s="88"/>
      <c r="B204" s="89"/>
      <c r="C204" s="79"/>
      <c r="D204" s="80"/>
      <c r="E204" s="80"/>
      <c r="F204" s="81">
        <f t="shared" ref="F204" si="167">SUM(G204:AD204)</f>
        <v>10</v>
      </c>
      <c r="G204" s="79"/>
      <c r="H204" s="80"/>
      <c r="I204" s="80"/>
      <c r="J204" s="79"/>
      <c r="K204" s="79"/>
      <c r="L204" s="80">
        <v>4</v>
      </c>
      <c r="M204" s="80">
        <v>2</v>
      </c>
      <c r="N204" s="80">
        <v>2</v>
      </c>
      <c r="O204" s="115">
        <v>2</v>
      </c>
      <c r="P204" s="79"/>
      <c r="Q204" s="86"/>
      <c r="R204" s="86"/>
      <c r="S204" s="87"/>
      <c r="T204" s="87"/>
      <c r="U204" s="87"/>
      <c r="V204" s="87"/>
      <c r="W204" s="87"/>
      <c r="X204" s="87"/>
      <c r="Y204" s="87"/>
      <c r="Z204" s="87"/>
      <c r="AA204" s="87"/>
      <c r="AB204" s="87"/>
      <c r="AC204" s="87"/>
      <c r="AD204" s="87"/>
      <c r="AE204" s="81">
        <v>18</v>
      </c>
      <c r="AM204" s="12"/>
      <c r="AN204" s="96"/>
      <c r="AO204" s="184"/>
      <c r="AP204" s="184"/>
      <c r="AQ204" s="11"/>
      <c r="AR204" s="11"/>
    </row>
    <row r="205" spans="1:44" s="4" customFormat="1" ht="75">
      <c r="A205" s="82">
        <v>27</v>
      </c>
      <c r="B205" s="83" t="s">
        <v>75</v>
      </c>
      <c r="C205" s="64">
        <f t="shared" ref="C205" si="168">SUM(D205:F207)</f>
        <v>32</v>
      </c>
      <c r="D205" s="65">
        <f t="shared" ref="D205" si="169">SUM(G205:AD205)</f>
        <v>16</v>
      </c>
      <c r="E205" s="65"/>
      <c r="F205" s="66"/>
      <c r="G205" s="67">
        <v>2</v>
      </c>
      <c r="H205" s="67">
        <v>2</v>
      </c>
      <c r="I205" s="67">
        <v>2</v>
      </c>
      <c r="J205" s="67">
        <v>2</v>
      </c>
      <c r="K205" s="67">
        <v>2</v>
      </c>
      <c r="L205" s="67">
        <v>2</v>
      </c>
      <c r="M205" s="67">
        <v>2</v>
      </c>
      <c r="N205" s="67">
        <v>2</v>
      </c>
      <c r="O205" s="113"/>
      <c r="P205" s="64"/>
      <c r="Q205" s="64"/>
      <c r="R205" s="64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6" t="s">
        <v>45</v>
      </c>
      <c r="AM205" s="11"/>
      <c r="AN205" s="11"/>
      <c r="AO205" s="11"/>
      <c r="AP205" s="11"/>
      <c r="AQ205" s="11"/>
      <c r="AR205" s="11"/>
    </row>
    <row r="206" spans="1:44" s="4" customFormat="1">
      <c r="A206" s="84"/>
      <c r="B206" s="85"/>
      <c r="C206" s="71"/>
      <c r="D206" s="72"/>
      <c r="E206" s="72">
        <f t="shared" ref="E206" si="170">SUM(G206:AD206)</f>
        <v>16</v>
      </c>
      <c r="F206" s="73"/>
      <c r="G206" s="71">
        <v>2</v>
      </c>
      <c r="H206" s="71">
        <v>2</v>
      </c>
      <c r="I206" s="71">
        <v>2</v>
      </c>
      <c r="J206" s="71">
        <v>2</v>
      </c>
      <c r="K206" s="71">
        <v>2</v>
      </c>
      <c r="L206" s="71">
        <v>2</v>
      </c>
      <c r="M206" s="71">
        <v>2</v>
      </c>
      <c r="N206" s="71">
        <v>2</v>
      </c>
      <c r="O206" s="105"/>
      <c r="P206" s="71"/>
      <c r="Q206" s="71"/>
      <c r="R206" s="71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6"/>
      <c r="AM206" s="12"/>
      <c r="AN206" s="96"/>
      <c r="AO206" s="184"/>
      <c r="AP206" s="184"/>
      <c r="AQ206" s="11"/>
      <c r="AR206" s="11"/>
    </row>
    <row r="207" spans="1:44" s="4" customFormat="1" ht="19.5" thickBot="1">
      <c r="A207" s="88"/>
      <c r="B207" s="89"/>
      <c r="C207" s="79"/>
      <c r="D207" s="80"/>
      <c r="E207" s="80"/>
      <c r="F207" s="81">
        <f t="shared" ref="F207" si="171">SUM(G207:AD207)</f>
        <v>0</v>
      </c>
      <c r="G207" s="79"/>
      <c r="H207" s="80"/>
      <c r="I207" s="80"/>
      <c r="J207" s="79"/>
      <c r="K207" s="79"/>
      <c r="L207" s="80"/>
      <c r="M207" s="80"/>
      <c r="N207" s="80"/>
      <c r="O207" s="110"/>
      <c r="P207" s="86"/>
      <c r="Q207" s="86"/>
      <c r="R207" s="86"/>
      <c r="S207" s="87"/>
      <c r="T207" s="87"/>
      <c r="U207" s="87"/>
      <c r="V207" s="87"/>
      <c r="W207" s="87"/>
      <c r="X207" s="87"/>
      <c r="Y207" s="87"/>
      <c r="Z207" s="87"/>
      <c r="AA207" s="87"/>
      <c r="AB207" s="87"/>
      <c r="AC207" s="87"/>
      <c r="AD207" s="87"/>
      <c r="AE207" s="81">
        <v>18</v>
      </c>
      <c r="AM207" s="12"/>
      <c r="AN207" s="96"/>
      <c r="AO207" s="184"/>
      <c r="AP207" s="184"/>
      <c r="AQ207" s="11"/>
      <c r="AR207" s="11"/>
    </row>
    <row r="208" spans="1:44" ht="75">
      <c r="A208" s="82">
        <v>27</v>
      </c>
      <c r="B208" s="83" t="s">
        <v>71</v>
      </c>
      <c r="C208" s="64">
        <f t="shared" ref="C208" si="172">SUM(D208:F210)</f>
        <v>16</v>
      </c>
      <c r="D208" s="65">
        <f t="shared" ref="D208" si="173">SUM(G208:AD208)</f>
        <v>6</v>
      </c>
      <c r="E208" s="65"/>
      <c r="F208" s="66"/>
      <c r="G208" s="67">
        <v>2</v>
      </c>
      <c r="H208" s="68"/>
      <c r="I208" s="68">
        <v>2</v>
      </c>
      <c r="J208" s="67"/>
      <c r="K208" s="64">
        <v>2</v>
      </c>
      <c r="L208" s="65"/>
      <c r="M208" s="65"/>
      <c r="N208" s="65"/>
      <c r="O208" s="113"/>
      <c r="P208" s="64"/>
      <c r="Q208" s="64"/>
      <c r="R208" s="64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6" t="s">
        <v>57</v>
      </c>
    </row>
    <row r="209" spans="1:44" ht="19.5">
      <c r="A209" s="84"/>
      <c r="B209" s="99" t="s">
        <v>72</v>
      </c>
      <c r="C209" s="71"/>
      <c r="D209" s="72"/>
      <c r="E209" s="72">
        <f t="shared" ref="E209" si="174">SUM(G209:AD209)</f>
        <v>10</v>
      </c>
      <c r="F209" s="73"/>
      <c r="G209" s="100"/>
      <c r="H209" s="72">
        <v>2</v>
      </c>
      <c r="I209" s="71"/>
      <c r="J209" s="72">
        <v>2</v>
      </c>
      <c r="K209" s="71"/>
      <c r="L209" s="72">
        <v>2</v>
      </c>
      <c r="M209" s="72"/>
      <c r="N209" s="72">
        <v>2</v>
      </c>
      <c r="O209" s="105">
        <v>2</v>
      </c>
      <c r="P209" s="71"/>
      <c r="Q209" s="71"/>
      <c r="R209" s="71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6"/>
    </row>
    <row r="210" spans="1:44" ht="19.5" thickBot="1">
      <c r="A210" s="88"/>
      <c r="B210" s="89"/>
      <c r="C210" s="79"/>
      <c r="D210" s="80"/>
      <c r="E210" s="80"/>
      <c r="F210" s="81">
        <f t="shared" ref="F210" si="175">SUM(G210:AD210)</f>
        <v>0</v>
      </c>
      <c r="G210" s="86"/>
      <c r="H210" s="87"/>
      <c r="I210" s="86"/>
      <c r="J210" s="79"/>
      <c r="K210" s="86"/>
      <c r="L210" s="87"/>
      <c r="M210" s="87"/>
      <c r="N210" s="87"/>
      <c r="O210" s="110"/>
      <c r="P210" s="86"/>
      <c r="Q210" s="86"/>
      <c r="R210" s="86"/>
      <c r="S210" s="87"/>
      <c r="T210" s="87"/>
      <c r="U210" s="87"/>
      <c r="V210" s="87"/>
      <c r="W210" s="87"/>
      <c r="X210" s="87"/>
      <c r="Y210" s="87"/>
      <c r="Z210" s="87"/>
      <c r="AA210" s="87"/>
      <c r="AB210" s="87"/>
      <c r="AC210" s="87"/>
      <c r="AD210" s="87"/>
      <c r="AE210" s="81">
        <v>9</v>
      </c>
    </row>
    <row r="211" spans="1:44" ht="19.5" thickBot="1">
      <c r="A211" s="185" t="s">
        <v>77</v>
      </c>
      <c r="B211" s="186"/>
      <c r="C211" s="186"/>
      <c r="D211" s="186"/>
      <c r="E211" s="186"/>
      <c r="F211" s="186"/>
      <c r="G211" s="186"/>
      <c r="H211" s="186"/>
      <c r="I211" s="186"/>
      <c r="J211" s="186"/>
      <c r="K211" s="186"/>
      <c r="L211" s="186"/>
      <c r="M211" s="186"/>
      <c r="N211" s="186"/>
      <c r="O211" s="186"/>
      <c r="P211" s="186"/>
      <c r="Q211" s="186"/>
      <c r="R211" s="186"/>
      <c r="S211" s="186"/>
      <c r="T211" s="186"/>
      <c r="U211" s="186"/>
      <c r="V211" s="186"/>
      <c r="W211" s="186"/>
      <c r="X211" s="186"/>
      <c r="Y211" s="186"/>
      <c r="Z211" s="186"/>
      <c r="AA211" s="186"/>
      <c r="AB211" s="186"/>
      <c r="AC211" s="186"/>
      <c r="AD211" s="186"/>
      <c r="AE211" s="187"/>
    </row>
    <row r="212" spans="1:44" s="4" customFormat="1" ht="37.5">
      <c r="A212" s="82">
        <v>27</v>
      </c>
      <c r="B212" s="83" t="s">
        <v>58</v>
      </c>
      <c r="C212" s="64">
        <f t="shared" ref="C212" si="176">SUM(D212:F214)</f>
        <v>24</v>
      </c>
      <c r="D212" s="65">
        <f t="shared" ref="D212" si="177">SUM(G212:AD212)</f>
        <v>12</v>
      </c>
      <c r="E212" s="65"/>
      <c r="F212" s="66"/>
      <c r="G212" s="64">
        <v>2</v>
      </c>
      <c r="H212" s="64">
        <v>2</v>
      </c>
      <c r="I212" s="64">
        <v>2</v>
      </c>
      <c r="J212" s="64">
        <v>2</v>
      </c>
      <c r="K212" s="64">
        <v>2</v>
      </c>
      <c r="L212" s="66">
        <v>2</v>
      </c>
      <c r="M212" s="64"/>
      <c r="N212" s="65"/>
      <c r="O212" s="65"/>
      <c r="P212" s="65"/>
      <c r="Q212" s="64"/>
      <c r="R212" s="64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6" t="s">
        <v>27</v>
      </c>
      <c r="AM212" s="11"/>
      <c r="AN212" s="11"/>
      <c r="AO212" s="11"/>
      <c r="AP212" s="11"/>
      <c r="AQ212" s="11"/>
      <c r="AR212" s="11"/>
    </row>
    <row r="213" spans="1:44" s="4" customFormat="1">
      <c r="A213" s="84"/>
      <c r="B213" s="85"/>
      <c r="C213" s="71"/>
      <c r="D213" s="72"/>
      <c r="E213" s="72">
        <f t="shared" ref="E213" si="178">SUM(G213:AD213)</f>
        <v>12</v>
      </c>
      <c r="F213" s="73"/>
      <c r="G213" s="71">
        <v>2</v>
      </c>
      <c r="H213" s="71">
        <v>2</v>
      </c>
      <c r="I213" s="71">
        <v>2</v>
      </c>
      <c r="J213" s="71">
        <v>2</v>
      </c>
      <c r="K213" s="71">
        <v>2</v>
      </c>
      <c r="L213" s="73">
        <v>2</v>
      </c>
      <c r="M213" s="71"/>
      <c r="N213" s="72"/>
      <c r="O213" s="72"/>
      <c r="P213" s="72"/>
      <c r="Q213" s="71"/>
      <c r="R213" s="71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6"/>
      <c r="AM213" s="12"/>
      <c r="AN213" s="96"/>
      <c r="AO213" s="184"/>
      <c r="AP213" s="184"/>
      <c r="AQ213" s="11"/>
      <c r="AR213" s="11"/>
    </row>
    <row r="214" spans="1:44" s="4" customFormat="1" ht="19.5" thickBot="1">
      <c r="A214" s="98"/>
      <c r="B214" s="89"/>
      <c r="C214" s="79"/>
      <c r="D214" s="80"/>
      <c r="E214" s="80"/>
      <c r="F214" s="81">
        <f t="shared" ref="F214" si="179">SUM(G214:AD214)</f>
        <v>0</v>
      </c>
      <c r="G214" s="79"/>
      <c r="H214" s="80"/>
      <c r="I214" s="80"/>
      <c r="J214" s="79"/>
      <c r="K214" s="86"/>
      <c r="L214" s="92"/>
      <c r="M214" s="86"/>
      <c r="N214" s="87"/>
      <c r="O214" s="87"/>
      <c r="P214" s="87"/>
      <c r="Q214" s="86"/>
      <c r="R214" s="86"/>
      <c r="S214" s="87"/>
      <c r="T214" s="87"/>
      <c r="U214" s="87"/>
      <c r="V214" s="87"/>
      <c r="W214" s="87"/>
      <c r="X214" s="87"/>
      <c r="Y214" s="87"/>
      <c r="Z214" s="87"/>
      <c r="AA214" s="87"/>
      <c r="AB214" s="87"/>
      <c r="AC214" s="87"/>
      <c r="AD214" s="87"/>
      <c r="AE214" s="81">
        <v>36</v>
      </c>
      <c r="AM214" s="12"/>
      <c r="AN214" s="96"/>
      <c r="AO214" s="184"/>
      <c r="AP214" s="184"/>
      <c r="AQ214" s="11"/>
      <c r="AR214" s="11"/>
    </row>
  </sheetData>
  <mergeCells count="152">
    <mergeCell ref="AO45:AP45"/>
    <mergeCell ref="AF46:AK46"/>
    <mergeCell ref="AO54:AP54"/>
    <mergeCell ref="AO44:AP44"/>
    <mergeCell ref="AO42:AP42"/>
    <mergeCell ref="AO38:AP38"/>
    <mergeCell ref="A24:AE24"/>
    <mergeCell ref="AO26:AP26"/>
    <mergeCell ref="AO27:AP27"/>
    <mergeCell ref="M25:Y27"/>
    <mergeCell ref="A32:AE32"/>
    <mergeCell ref="AO31:AP31"/>
    <mergeCell ref="AO39:AP39"/>
    <mergeCell ref="A36:AE36"/>
    <mergeCell ref="AO48:AP48"/>
    <mergeCell ref="AO49:AP49"/>
    <mergeCell ref="AO51:AP51"/>
    <mergeCell ref="AO41:AP41"/>
    <mergeCell ref="A46:AE46"/>
    <mergeCell ref="A94:AE94"/>
    <mergeCell ref="AO96:AP96"/>
    <mergeCell ref="AO97:AP97"/>
    <mergeCell ref="I95:T97"/>
    <mergeCell ref="AO58:AP58"/>
    <mergeCell ref="AO55:AP55"/>
    <mergeCell ref="AO52:AP52"/>
    <mergeCell ref="AO57:AP57"/>
    <mergeCell ref="AO65:AP65"/>
    <mergeCell ref="A62:AE62"/>
    <mergeCell ref="AO75:AP75"/>
    <mergeCell ref="AO76:AP76"/>
    <mergeCell ref="AO79:AP79"/>
    <mergeCell ref="AO80:AP80"/>
    <mergeCell ref="A90:AE90"/>
    <mergeCell ref="AO92:AP92"/>
    <mergeCell ref="AO93:AP93"/>
    <mergeCell ref="A77:AE77"/>
    <mergeCell ref="AO83:AP83"/>
    <mergeCell ref="AO84:AP84"/>
    <mergeCell ref="A89:AE89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3:C3"/>
    <mergeCell ref="A15:AE15"/>
    <mergeCell ref="A19:AE19"/>
    <mergeCell ref="G5:H5"/>
    <mergeCell ref="L13:AO13"/>
    <mergeCell ref="A14:AE14"/>
    <mergeCell ref="AO30:AP30"/>
    <mergeCell ref="AO21:AP21"/>
    <mergeCell ref="AO22:AP22"/>
    <mergeCell ref="A23:AE23"/>
    <mergeCell ref="A28:AE28"/>
    <mergeCell ref="AO19:AP19"/>
    <mergeCell ref="A81:AE81"/>
    <mergeCell ref="A85:AE85"/>
    <mergeCell ref="AO64:AP64"/>
    <mergeCell ref="AO69:AP69"/>
    <mergeCell ref="AO73:AP73"/>
    <mergeCell ref="AO68:AP68"/>
    <mergeCell ref="A69:AE69"/>
    <mergeCell ref="A73:AE73"/>
    <mergeCell ref="AO118:AP118"/>
    <mergeCell ref="A102:AE102"/>
    <mergeCell ref="AO67:AP67"/>
    <mergeCell ref="AO98:AP98"/>
    <mergeCell ref="AO100:AP100"/>
    <mergeCell ref="AO101:AP101"/>
    <mergeCell ref="A98:AE98"/>
    <mergeCell ref="A106:AE106"/>
    <mergeCell ref="AO120:AP120"/>
    <mergeCell ref="AO121:AP121"/>
    <mergeCell ref="AO123:AP123"/>
    <mergeCell ref="AO124:AP124"/>
    <mergeCell ref="AO108:AP108"/>
    <mergeCell ref="AO109:AP109"/>
    <mergeCell ref="AO111:AP111"/>
    <mergeCell ref="AO114:AP114"/>
    <mergeCell ref="AO117:AP117"/>
    <mergeCell ref="AO115:AP115"/>
    <mergeCell ref="AO112:AP112"/>
    <mergeCell ref="AO133:AP133"/>
    <mergeCell ref="AO134:AP134"/>
    <mergeCell ref="AO136:AP136"/>
    <mergeCell ref="AO137:AP137"/>
    <mergeCell ref="A138:AE138"/>
    <mergeCell ref="A125:AE125"/>
    <mergeCell ref="AO127:AP127"/>
    <mergeCell ref="AO128:AP128"/>
    <mergeCell ref="AO130:AP130"/>
    <mergeCell ref="AO131:AP131"/>
    <mergeCell ref="A142:AE142"/>
    <mergeCell ref="AO148:AP148"/>
    <mergeCell ref="AO150:AP150"/>
    <mergeCell ref="AO151:AP151"/>
    <mergeCell ref="AO153:AP153"/>
    <mergeCell ref="AO154:AP154"/>
    <mergeCell ref="AO140:AP140"/>
    <mergeCell ref="AO141:AP141"/>
    <mergeCell ref="AO144:AP144"/>
    <mergeCell ref="AO145:AP145"/>
    <mergeCell ref="AO147:AP147"/>
    <mergeCell ref="A168:AE168"/>
    <mergeCell ref="A185:AE185"/>
    <mergeCell ref="AO166:AP166"/>
    <mergeCell ref="AO167:AP167"/>
    <mergeCell ref="A164:AE164"/>
    <mergeCell ref="AO190:AP190"/>
    <mergeCell ref="AO191:AP191"/>
    <mergeCell ref="AO156:AP156"/>
    <mergeCell ref="AO157:AP157"/>
    <mergeCell ref="AO159:AP159"/>
    <mergeCell ref="AO160:AP160"/>
    <mergeCell ref="A169:AE169"/>
    <mergeCell ref="AO171:AP171"/>
    <mergeCell ref="AO172:AP172"/>
    <mergeCell ref="G170:J172"/>
    <mergeCell ref="R170:R172"/>
    <mergeCell ref="A173:AE173"/>
    <mergeCell ref="AO175:AP175"/>
    <mergeCell ref="AO176:AP176"/>
    <mergeCell ref="I174:L176"/>
    <mergeCell ref="A177:AE177"/>
    <mergeCell ref="AO180:AP180"/>
    <mergeCell ref="AO179:AP179"/>
    <mergeCell ref="A181:AE181"/>
    <mergeCell ref="K178:N180"/>
    <mergeCell ref="AO213:AP213"/>
    <mergeCell ref="AO214:AP214"/>
    <mergeCell ref="A211:AE211"/>
    <mergeCell ref="AO203:AP203"/>
    <mergeCell ref="AO204:AP204"/>
    <mergeCell ref="AO206:AP206"/>
    <mergeCell ref="AO207:AP207"/>
    <mergeCell ref="A201:AE201"/>
    <mergeCell ref="AO196:AP196"/>
    <mergeCell ref="AO197:AP197"/>
    <mergeCell ref="AO199:AP199"/>
    <mergeCell ref="AO200:AP200"/>
  </mergeCells>
  <conditionalFormatting sqref="A188">
    <cfRule type="expression" dxfId="17" priority="16" stopIfTrue="1">
      <formula>$DB168=1</formula>
    </cfRule>
  </conditionalFormatting>
  <conditionalFormatting sqref="A188:B188">
    <cfRule type="expression" dxfId="16" priority="17" stopIfTrue="1">
      <formula>$CV168&gt;0</formula>
    </cfRule>
    <cfRule type="expression" dxfId="15" priority="18" stopIfTrue="1">
      <formula>$CU168&gt;0</formula>
    </cfRule>
  </conditionalFormatting>
  <conditionalFormatting sqref="A188">
    <cfRule type="expression" dxfId="14" priority="15" stopIfTrue="1">
      <formula>$DB168=1</formula>
    </cfRule>
  </conditionalFormatting>
  <conditionalFormatting sqref="A188:B188">
    <cfRule type="expression" dxfId="13" priority="13" stopIfTrue="1">
      <formula>$CV168&gt;0</formula>
    </cfRule>
    <cfRule type="expression" dxfId="12" priority="14" stopIfTrue="1">
      <formula>$CU168&gt;0</formula>
    </cfRule>
  </conditionalFormatting>
  <conditionalFormatting sqref="A188">
    <cfRule type="expression" dxfId="11" priority="12" stopIfTrue="1">
      <formula>$DC168=1</formula>
    </cfRule>
  </conditionalFormatting>
  <conditionalFormatting sqref="A188:B188">
    <cfRule type="expression" dxfId="10" priority="10" stopIfTrue="1">
      <formula>$CW168&gt;0</formula>
    </cfRule>
    <cfRule type="expression" dxfId="9" priority="11" stopIfTrue="1">
      <formula>$CV168&gt;0</formula>
    </cfRule>
  </conditionalFormatting>
  <conditionalFormatting sqref="A194">
    <cfRule type="expression" dxfId="8" priority="9" stopIfTrue="1">
      <formula>$DB190=1</formula>
    </cfRule>
  </conditionalFormatting>
  <conditionalFormatting sqref="A194:B194">
    <cfRule type="expression" dxfId="7" priority="7" stopIfTrue="1">
      <formula>$CV190&gt;0</formula>
    </cfRule>
    <cfRule type="expression" dxfId="6" priority="8" stopIfTrue="1">
      <formula>$CU190&gt;0</formula>
    </cfRule>
  </conditionalFormatting>
  <conditionalFormatting sqref="A194">
    <cfRule type="expression" dxfId="5" priority="6" stopIfTrue="1">
      <formula>$DB190=1</formula>
    </cfRule>
  </conditionalFormatting>
  <conditionalFormatting sqref="A194:B194">
    <cfRule type="expression" dxfId="4" priority="4" stopIfTrue="1">
      <formula>$CV190&gt;0</formula>
    </cfRule>
    <cfRule type="expression" dxfId="3" priority="5" stopIfTrue="1">
      <formula>$CU190&gt;0</formula>
    </cfRule>
  </conditionalFormatting>
  <conditionalFormatting sqref="A194">
    <cfRule type="expression" dxfId="2" priority="3" stopIfTrue="1">
      <formula>$DC190=1</formula>
    </cfRule>
  </conditionalFormatting>
  <conditionalFormatting sqref="A194:B194">
    <cfRule type="expression" dxfId="1" priority="1" stopIfTrue="1">
      <formula>$CW190&gt;0</formula>
    </cfRule>
    <cfRule type="expression" dxfId="0" priority="2" stopIfTrue="1">
      <formula>$CV190&gt;0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2021-10-27T11:36:22Z</dcterms:modified>
</cp:coreProperties>
</file>