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190" i="1"/>
  <c r="E189"/>
  <c r="D188"/>
  <c r="C188" s="1"/>
  <c r="F169"/>
  <c r="E168"/>
  <c r="D167"/>
  <c r="C167" s="1"/>
  <c r="F166"/>
  <c r="E165"/>
  <c r="D164"/>
  <c r="C164" s="1"/>
  <c r="F101"/>
  <c r="E100"/>
  <c r="D99"/>
  <c r="C99" s="1"/>
  <c r="F41"/>
  <c r="E40"/>
  <c r="D39"/>
  <c r="C39" s="1"/>
  <c r="F186"/>
  <c r="E185"/>
  <c r="D184"/>
  <c r="C184" s="1"/>
  <c r="F162" l="1"/>
  <c r="E161"/>
  <c r="D160"/>
  <c r="C160" l="1"/>
  <c r="F158"/>
  <c r="E157"/>
  <c r="D156"/>
  <c r="C156" l="1"/>
  <c r="F154"/>
  <c r="E153"/>
  <c r="D152"/>
  <c r="C152" l="1"/>
  <c r="F181"/>
  <c r="E180"/>
  <c r="D179"/>
  <c r="C179" l="1"/>
  <c r="F177"/>
  <c r="E176"/>
  <c r="D175"/>
  <c r="C175" l="1"/>
  <c r="F173"/>
  <c r="E172"/>
  <c r="D171"/>
  <c r="C171" l="1"/>
  <c r="F149"/>
  <c r="E148"/>
  <c r="D147"/>
  <c r="F146"/>
  <c r="E145"/>
  <c r="D144"/>
  <c r="F143"/>
  <c r="E142"/>
  <c r="D141"/>
  <c r="C141" s="1"/>
  <c r="F140"/>
  <c r="E139"/>
  <c r="D138"/>
  <c r="F137"/>
  <c r="E136"/>
  <c r="D135"/>
  <c r="F134"/>
  <c r="E133"/>
  <c r="D132"/>
  <c r="F131"/>
  <c r="E130"/>
  <c r="D129"/>
  <c r="C129" s="1"/>
  <c r="F128"/>
  <c r="E127"/>
  <c r="D126"/>
  <c r="C132" l="1"/>
  <c r="C144"/>
  <c r="C135"/>
  <c r="C147"/>
  <c r="C126"/>
  <c r="C138"/>
  <c r="F124"/>
  <c r="E123"/>
  <c r="D122"/>
  <c r="C122" l="1"/>
  <c r="F120"/>
  <c r="E119"/>
  <c r="D118"/>
  <c r="C118" l="1"/>
  <c r="F116"/>
  <c r="E115"/>
  <c r="D114"/>
  <c r="F113"/>
  <c r="E112"/>
  <c r="D111"/>
  <c r="C111" l="1"/>
  <c r="C114"/>
  <c r="F109"/>
  <c r="E108"/>
  <c r="D107"/>
  <c r="C107" l="1"/>
  <c r="F105"/>
  <c r="E104"/>
  <c r="D103"/>
  <c r="C103" l="1"/>
  <c r="F96"/>
  <c r="E95"/>
  <c r="D94"/>
  <c r="C94" l="1"/>
  <c r="F92"/>
  <c r="E91"/>
  <c r="D90"/>
  <c r="F89"/>
  <c r="E88"/>
  <c r="D87"/>
  <c r="F86"/>
  <c r="E85"/>
  <c r="D84"/>
  <c r="F83"/>
  <c r="E82"/>
  <c r="D81"/>
  <c r="F80"/>
  <c r="C78" s="1"/>
  <c r="E79"/>
  <c r="D78"/>
  <c r="C81" l="1"/>
  <c r="C87"/>
  <c r="C84"/>
  <c r="C90"/>
  <c r="F76"/>
  <c r="E75"/>
  <c r="D74"/>
  <c r="C74" l="1"/>
  <c r="F72"/>
  <c r="E71"/>
  <c r="D70"/>
  <c r="C70" l="1"/>
  <c r="F68"/>
  <c r="E67"/>
  <c r="D66"/>
  <c r="C66"/>
  <c r="F64" l="1"/>
  <c r="E63"/>
  <c r="D62"/>
  <c r="F61"/>
  <c r="E60"/>
  <c r="D59"/>
  <c r="C62" l="1"/>
  <c r="C59"/>
  <c r="F57"/>
  <c r="E56"/>
  <c r="D55"/>
  <c r="C55" s="1"/>
  <c r="F53" l="1"/>
  <c r="E52"/>
  <c r="D51"/>
  <c r="C51" l="1"/>
  <c r="F49"/>
  <c r="E48"/>
  <c r="D47"/>
  <c r="C47" l="1"/>
  <c r="F45"/>
  <c r="E44"/>
  <c r="D43"/>
  <c r="C43" l="1"/>
  <c r="E36"/>
  <c r="D35"/>
  <c r="C35" l="1"/>
  <c r="F33"/>
  <c r="E32"/>
  <c r="D31"/>
  <c r="C31" l="1"/>
  <c r="F29"/>
  <c r="E28"/>
  <c r="D27"/>
  <c r="C27"/>
  <c r="F25" l="1"/>
  <c r="E24"/>
  <c r="D23"/>
  <c r="F22"/>
  <c r="E21"/>
  <c r="D20"/>
  <c r="C20" l="1"/>
  <c r="C23"/>
  <c r="F18"/>
  <c r="E17"/>
  <c r="D16"/>
  <c r="C16" s="1"/>
</calcChain>
</file>

<file path=xl/sharedStrings.xml><?xml version="1.0" encoding="utf-8"?>
<sst xmlns="http://schemas.openxmlformats.org/spreadsheetml/2006/main" count="161" uniqueCount="96">
  <si>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</si>
  <si>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</si>
  <si>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</si>
  <si>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</si>
  <si>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</si>
  <si>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</si>
  <si>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</si>
  <si>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</si>
  <si>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</si>
  <si>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</si>
  <si>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</si>
  <si>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</si>
  <si>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</si>
  <si>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</si>
  <si>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</si>
  <si>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</si>
  <si>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</si>
  <si>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</si>
  <si>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</si>
  <si>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</si>
  <si>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>Дифф. зачет</t>
  </si>
  <si>
    <t xml:space="preserve">                                       Дисциплины 309 (ОБПрВТ)</t>
  </si>
  <si>
    <t xml:space="preserve">                                       Дисциплины 206 (ОрТОР)</t>
  </si>
  <si>
    <t xml:space="preserve">                                       Дисциплины 307 (БТПП)</t>
  </si>
  <si>
    <t xml:space="preserve">               3 КУРС</t>
  </si>
  <si>
    <t xml:space="preserve">                                       Дисциплины 306 (ООТБ)</t>
  </si>
  <si>
    <t xml:space="preserve">               4 КУРС</t>
  </si>
  <si>
    <t>Экзамен</t>
  </si>
  <si>
    <t xml:space="preserve">                                       Дисциплины 203, 204 (ОрАД)</t>
  </si>
  <si>
    <t xml:space="preserve">                                       Дисциплины 291, 292 (ОПУВТ)</t>
  </si>
  <si>
    <t xml:space="preserve">                                       Дисциплины 286, 286а (ОрТОР)</t>
  </si>
  <si>
    <t xml:space="preserve">                                            Кафедра № 17</t>
  </si>
  <si>
    <t>Дисциплины кафедры № 17</t>
  </si>
  <si>
    <t>Экономика отрасли</t>
  </si>
  <si>
    <t xml:space="preserve">                                       Дисциплины 215 (ОРТОП)</t>
  </si>
  <si>
    <t>Экономика воздушного транспорта</t>
  </si>
  <si>
    <t>История экономических учений</t>
  </si>
  <si>
    <t xml:space="preserve">                                       Дисциплины 315 (МВТ)</t>
  </si>
  <si>
    <t xml:space="preserve">                                       Дисциплины 310 (МПОСУ)</t>
  </si>
  <si>
    <t xml:space="preserve">                                       Дисциплины 313 (ОАБ)</t>
  </si>
  <si>
    <t>Макроэкономика</t>
  </si>
  <si>
    <t xml:space="preserve">                                       Дисциплины 319 (ОБПрВТ)</t>
  </si>
  <si>
    <t xml:space="preserve">               2 КУРС</t>
  </si>
  <si>
    <t>Экономика</t>
  </si>
  <si>
    <t xml:space="preserve">                                       Дисциплины 201, 202 (ОПУВТ)</t>
  </si>
  <si>
    <t>Рынок транспортных услуг и прогнозирование авиаперевозок</t>
  </si>
  <si>
    <t>Статистика (теория статистики, социально-экономическая статистика)</t>
  </si>
  <si>
    <t>КР</t>
  </si>
  <si>
    <t>Финансовый менеджмент</t>
  </si>
  <si>
    <t>Бухгалтерский учет и налогообложение авиапредприятий</t>
  </si>
  <si>
    <t xml:space="preserve">                                       Дисциплины 305 (МВТ)</t>
  </si>
  <si>
    <t xml:space="preserve">                                       Дисциплины 302 (ТЛ)</t>
  </si>
  <si>
    <t>Бухгалтерский учет и аудит</t>
  </si>
  <si>
    <t>Социально-экономическая статистика</t>
  </si>
  <si>
    <t>Организационно-экономические основы инвестирования</t>
  </si>
  <si>
    <t>КП</t>
  </si>
  <si>
    <t>Научно-исследовательская работа обучающегося</t>
  </si>
  <si>
    <t>Факультатив</t>
  </si>
  <si>
    <t xml:space="preserve">                                       Дисциплины 304 (ЭПОВТ)</t>
  </si>
  <si>
    <t xml:space="preserve">Экономика </t>
  </si>
  <si>
    <t xml:space="preserve">                                       Дисциплины 401, 402 (РЕК)</t>
  </si>
  <si>
    <t>Планирование и экономика авиарейсов</t>
  </si>
  <si>
    <t xml:space="preserve">                                       Дисциплины 293, 294 (ОрАД)</t>
  </si>
  <si>
    <t>Инвестиционный анализ</t>
  </si>
  <si>
    <t>Анализ производственно-хозяйственной деятельности авиапредприятий</t>
  </si>
  <si>
    <t xml:space="preserve">                                       Дисциплины 395 (МВТ)</t>
  </si>
  <si>
    <t>Экономические основы обеспечения безопасности</t>
  </si>
  <si>
    <t xml:space="preserve">Зачет </t>
  </si>
  <si>
    <t xml:space="preserve">                                       Дисциплины 393 (ОАБ)</t>
  </si>
  <si>
    <t>Анализ производственно-хозяйственной деятельности предприятия</t>
  </si>
  <si>
    <t xml:space="preserve">                                       Дисциплины 399 (ОБПрВТ)</t>
  </si>
  <si>
    <t>Планирование на предприятии (организации)</t>
  </si>
  <si>
    <t>Методы и модели формирования себестоимости авиационных перевозок</t>
  </si>
  <si>
    <t>Анализ производственно-хозяйственной деятельности</t>
  </si>
  <si>
    <t>Экономика авиакомпаний</t>
  </si>
  <si>
    <t>История экономический учений</t>
  </si>
  <si>
    <t>Организация, нормирование и оплата труда</t>
  </si>
  <si>
    <t>Оценка потенциала стратегического взаимодействия авиакомпаний и аэропортовых предприятий</t>
  </si>
  <si>
    <t xml:space="preserve">                                       Дисциплины 394 (ЭПОВТ)</t>
  </si>
  <si>
    <t>Финансы предприятий воздушного транспорта</t>
  </si>
  <si>
    <t xml:space="preserve">                                       Дисциплины 283, 284 (ОрАД)</t>
  </si>
  <si>
    <t>Системный анализ в управлении производством</t>
  </si>
  <si>
    <t>Технико-экономическое обоснование инвестиционных и инновационных проектов в сервисе</t>
  </si>
  <si>
    <t xml:space="preserve">                                       Дисциплины 482 (СНТ)</t>
  </si>
  <si>
    <t>Дисциплины  183 (ЛЭГВС)</t>
  </si>
  <si>
    <t>Дисциплины  184 (ЛЭГВС)</t>
  </si>
  <si>
    <t>Дисциплины  184а (ЛЭГВС)</t>
  </si>
  <si>
    <t>Дисциплины  170,171,172 (ОЛР)</t>
  </si>
  <si>
    <t xml:space="preserve">               5 КУРС</t>
  </si>
  <si>
    <t xml:space="preserve">Экзамен </t>
  </si>
  <si>
    <t>Дисциплины  105,106,107,107а (ИВП)</t>
  </si>
  <si>
    <t>Дисциплины  198,199  (ОрАНО)</t>
  </si>
  <si>
    <t>Экономика производства</t>
  </si>
  <si>
    <t>Дисциплины  188,189 (ОрАНО)</t>
  </si>
  <si>
    <t>Технико-экономическое обоснование проектов</t>
  </si>
  <si>
    <t>Дисциплины  175,176,177,177а (ИВП)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</si>
</sst>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96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3" borderId="3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5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52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16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7" xfId="0" applyFont="1" applyFill="1" applyBorder="1" applyAlignment="1">
      <alignment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3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2" fillId="0" borderId="19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34" xfId="0" applyFont="1" applyFill="1" applyBorder="1" applyAlignment="1">
      <alignment horizontal="center" wrapText="1"/>
    </xf>
    <xf numFmtId="0" fontId="2" fillId="0" borderId="53" xfId="0" applyFont="1" applyFill="1" applyBorder="1" applyAlignment="1">
      <alignment horizontal="center" wrapText="1"/>
    </xf>
    <xf numFmtId="0" fontId="2" fillId="0" borderId="60" xfId="0" applyFont="1" applyFill="1" applyBorder="1" applyAlignment="1">
      <alignment horizontal="center" wrapText="1"/>
    </xf>
    <xf numFmtId="0" fontId="2" fillId="0" borderId="56" xfId="0" applyFont="1" applyFill="1" applyBorder="1" applyAlignment="1">
      <alignment horizont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1" xfId="0" applyFont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72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90"/>
  <sheetViews>
    <sheetView tabSelected="1" topLeftCell="A172" zoomScale="70" zoomScaleNormal="70" workbookViewId="0">
      <selection activeCell="A187" sqref="A187:AE187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67" t="s">
        <v>16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93"/>
    </row>
    <row r="2" spans="1:44">
      <c r="A2" s="168" t="s">
        <v>17</v>
      </c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</row>
    <row r="3" spans="1:44" ht="18.75" customHeight="1">
      <c r="A3" s="193"/>
      <c r="B3" s="193"/>
      <c r="C3" s="193"/>
      <c r="H3" s="169" t="s">
        <v>31</v>
      </c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69"/>
      <c r="AE3" s="169"/>
      <c r="AF3" s="169"/>
      <c r="AG3" s="169"/>
      <c r="AH3" s="169"/>
      <c r="AI3" s="169"/>
      <c r="AJ3" s="169"/>
      <c r="AK3" s="169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75" t="s">
        <v>1</v>
      </c>
      <c r="B5" s="178" t="s">
        <v>0</v>
      </c>
      <c r="C5" s="170" t="s">
        <v>4</v>
      </c>
      <c r="D5" s="171"/>
      <c r="E5" s="171"/>
      <c r="F5" s="171"/>
      <c r="G5" s="194" t="s">
        <v>9</v>
      </c>
      <c r="H5" s="192"/>
      <c r="I5" s="184" t="s">
        <v>10</v>
      </c>
      <c r="J5" s="185"/>
      <c r="K5" s="185"/>
      <c r="L5" s="186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84" t="s">
        <v>13</v>
      </c>
      <c r="V5" s="192"/>
      <c r="W5" s="185"/>
      <c r="X5" s="185"/>
      <c r="Y5" s="54"/>
      <c r="Z5" s="184" t="s">
        <v>14</v>
      </c>
      <c r="AA5" s="185"/>
      <c r="AB5" s="185"/>
      <c r="AC5" s="185"/>
      <c r="AD5" s="61"/>
      <c r="AE5" s="178" t="s">
        <v>5</v>
      </c>
    </row>
    <row r="6" spans="1:44" ht="20.100000000000001" customHeight="1" thickBot="1">
      <c r="A6" s="176"/>
      <c r="B6" s="179"/>
      <c r="C6" s="172"/>
      <c r="D6" s="173"/>
      <c r="E6" s="173"/>
      <c r="F6" s="174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79"/>
    </row>
    <row r="7" spans="1:44" ht="20.100000000000001" customHeight="1" thickBot="1">
      <c r="A7" s="176"/>
      <c r="B7" s="179"/>
      <c r="C7" s="181" t="s">
        <v>2</v>
      </c>
      <c r="D7" s="189" t="s">
        <v>3</v>
      </c>
      <c r="E7" s="190"/>
      <c r="F7" s="191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79"/>
    </row>
    <row r="8" spans="1:44" ht="20.100000000000001" customHeight="1">
      <c r="A8" s="176"/>
      <c r="B8" s="179"/>
      <c r="C8" s="182"/>
      <c r="D8" s="187" t="s">
        <v>6</v>
      </c>
      <c r="E8" s="182" t="s">
        <v>7</v>
      </c>
      <c r="F8" s="182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79"/>
    </row>
    <row r="9" spans="1:44" s="4" customFormat="1" ht="20.100000000000001" customHeight="1" thickBot="1">
      <c r="A9" s="176"/>
      <c r="B9" s="179"/>
      <c r="C9" s="182"/>
      <c r="D9" s="187"/>
      <c r="E9" s="182"/>
      <c r="F9" s="182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74"/>
    </row>
    <row r="10" spans="1:44" s="4" customFormat="1" ht="20.100000000000001" customHeight="1">
      <c r="A10" s="176"/>
      <c r="B10" s="179"/>
      <c r="C10" s="182"/>
      <c r="D10" s="187"/>
      <c r="E10" s="182"/>
      <c r="F10" s="182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79"/>
    </row>
    <row r="11" spans="1:44" s="4" customFormat="1" ht="20.100000000000001" customHeight="1" thickBot="1">
      <c r="A11" s="176"/>
      <c r="B11" s="179"/>
      <c r="C11" s="182"/>
      <c r="D11" s="187"/>
      <c r="E11" s="182"/>
      <c r="F11" s="182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79"/>
    </row>
    <row r="12" spans="1:44" s="4" customFormat="1" ht="20.100000000000001" customHeight="1" thickBot="1">
      <c r="A12" s="177"/>
      <c r="B12" s="180"/>
      <c r="C12" s="183"/>
      <c r="D12" s="188"/>
      <c r="E12" s="183"/>
      <c r="F12" s="183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80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66" t="s">
        <v>32</v>
      </c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</row>
    <row r="14" spans="1:44" s="4" customFormat="1" ht="19.5" customHeight="1" thickBot="1">
      <c r="A14" s="165" t="s">
        <v>18</v>
      </c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M14" s="12"/>
      <c r="AN14" s="96"/>
      <c r="AO14" s="97"/>
      <c r="AP14" s="97"/>
      <c r="AQ14" s="11"/>
      <c r="AR14" s="11"/>
    </row>
    <row r="15" spans="1:44" s="4" customFormat="1" ht="19.5" thickBot="1">
      <c r="A15" s="161" t="s">
        <v>34</v>
      </c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3"/>
      <c r="AM15" s="11"/>
      <c r="AN15" s="11"/>
      <c r="AO15" s="11"/>
      <c r="AP15" s="11"/>
      <c r="AQ15" s="11"/>
      <c r="AR15" s="11"/>
    </row>
    <row r="16" spans="1:44" s="4" customFormat="1" ht="19.5">
      <c r="A16" s="82">
        <v>17</v>
      </c>
      <c r="B16" s="83" t="s">
        <v>33</v>
      </c>
      <c r="C16" s="64">
        <f t="shared" ref="C16" si="0">SUM(D16:F18)</f>
        <v>54</v>
      </c>
      <c r="D16" s="65">
        <f t="shared" ref="D16" si="1">SUM(G16:X16)</f>
        <v>18</v>
      </c>
      <c r="E16" s="65"/>
      <c r="F16" s="66"/>
      <c r="G16" s="71">
        <v>2</v>
      </c>
      <c r="H16" s="71"/>
      <c r="I16" s="71">
        <v>2</v>
      </c>
      <c r="J16" s="71"/>
      <c r="K16" s="71">
        <v>2</v>
      </c>
      <c r="L16" s="71"/>
      <c r="M16" s="71">
        <v>2</v>
      </c>
      <c r="N16" s="71"/>
      <c r="O16" s="71">
        <v>2</v>
      </c>
      <c r="P16" s="71"/>
      <c r="Q16" s="71">
        <v>2</v>
      </c>
      <c r="R16" s="71"/>
      <c r="S16" s="71">
        <v>2</v>
      </c>
      <c r="T16" s="71"/>
      <c r="U16" s="71">
        <v>2</v>
      </c>
      <c r="V16" s="71"/>
      <c r="W16" s="71">
        <v>2</v>
      </c>
      <c r="X16" s="66"/>
      <c r="Y16" s="64"/>
      <c r="Z16" s="65"/>
      <c r="AA16" s="65"/>
      <c r="AB16" s="65"/>
      <c r="AC16" s="65"/>
      <c r="AD16" s="65"/>
      <c r="AE16" s="66" t="s">
        <v>20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SUM(G17:X17)</f>
        <v>36</v>
      </c>
      <c r="F17" s="73"/>
      <c r="G17" s="71">
        <v>2</v>
      </c>
      <c r="H17" s="71">
        <v>2</v>
      </c>
      <c r="I17" s="71">
        <v>2</v>
      </c>
      <c r="J17" s="71">
        <v>2</v>
      </c>
      <c r="K17" s="71">
        <v>2</v>
      </c>
      <c r="L17" s="71">
        <v>2</v>
      </c>
      <c r="M17" s="71">
        <v>2</v>
      </c>
      <c r="N17" s="71">
        <v>2</v>
      </c>
      <c r="O17" s="71">
        <v>2</v>
      </c>
      <c r="P17" s="71">
        <v>2</v>
      </c>
      <c r="Q17" s="71">
        <v>2</v>
      </c>
      <c r="R17" s="71">
        <v>2</v>
      </c>
      <c r="S17" s="71">
        <v>2</v>
      </c>
      <c r="T17" s="71">
        <v>2</v>
      </c>
      <c r="U17" s="71">
        <v>2</v>
      </c>
      <c r="V17" s="71">
        <v>2</v>
      </c>
      <c r="W17" s="71">
        <v>2</v>
      </c>
      <c r="X17" s="71">
        <v>2</v>
      </c>
      <c r="Y17" s="91"/>
      <c r="Z17" s="72"/>
      <c r="AA17" s="72"/>
      <c r="AB17" s="72"/>
      <c r="AC17" s="72"/>
      <c r="AD17" s="72"/>
      <c r="AE17" s="76"/>
      <c r="AM17" s="12"/>
      <c r="AN17" s="96"/>
      <c r="AO17" s="145"/>
      <c r="AP17" s="145"/>
      <c r="AQ17" s="11"/>
      <c r="AR17" s="11"/>
    </row>
    <row r="18" spans="1:44" s="4" customFormat="1" ht="19.5" thickBot="1">
      <c r="A18" s="88"/>
      <c r="B18" s="89"/>
      <c r="C18" s="79"/>
      <c r="D18" s="80"/>
      <c r="E18" s="80"/>
      <c r="F18" s="81">
        <f t="shared" ref="F18" si="3">SUM(G18:X18)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79"/>
      <c r="R18" s="79"/>
      <c r="S18" s="80"/>
      <c r="T18" s="80"/>
      <c r="U18" s="80"/>
      <c r="V18" s="80"/>
      <c r="W18" s="80"/>
      <c r="X18" s="92"/>
      <c r="Y18" s="86"/>
      <c r="Z18" s="87"/>
      <c r="AA18" s="87"/>
      <c r="AB18" s="87"/>
      <c r="AC18" s="87"/>
      <c r="AD18" s="87"/>
      <c r="AE18" s="81">
        <v>18</v>
      </c>
      <c r="AM18" s="12"/>
      <c r="AN18" s="96"/>
      <c r="AO18" s="145"/>
      <c r="AP18" s="145"/>
      <c r="AQ18" s="11"/>
      <c r="AR18" s="11"/>
    </row>
    <row r="19" spans="1:44" s="4" customFormat="1" ht="19.5" thickBot="1">
      <c r="A19" s="161" t="s">
        <v>37</v>
      </c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3"/>
      <c r="AM19" s="12"/>
      <c r="AN19" s="96"/>
      <c r="AO19" s="145"/>
      <c r="AP19" s="145"/>
      <c r="AQ19" s="11"/>
      <c r="AR19" s="11"/>
    </row>
    <row r="20" spans="1:44" s="4" customFormat="1" ht="37.5">
      <c r="A20" s="82">
        <v>17</v>
      </c>
      <c r="B20" s="83" t="s">
        <v>35</v>
      </c>
      <c r="C20" s="64">
        <f>SUM(D20:F22)</f>
        <v>54</v>
      </c>
      <c r="D20" s="65">
        <f>SUM(G20:X20)</f>
        <v>18</v>
      </c>
      <c r="E20" s="65"/>
      <c r="F20" s="66"/>
      <c r="G20" s="67">
        <v>2</v>
      </c>
      <c r="H20" s="67"/>
      <c r="I20" s="67">
        <v>2</v>
      </c>
      <c r="J20" s="67"/>
      <c r="K20" s="67">
        <v>2</v>
      </c>
      <c r="L20" s="67"/>
      <c r="M20" s="67">
        <v>2</v>
      </c>
      <c r="N20" s="67"/>
      <c r="O20" s="67">
        <v>2</v>
      </c>
      <c r="P20" s="67"/>
      <c r="Q20" s="67">
        <v>2</v>
      </c>
      <c r="R20" s="67"/>
      <c r="S20" s="67">
        <v>2</v>
      </c>
      <c r="T20" s="67"/>
      <c r="U20" s="67">
        <v>2</v>
      </c>
      <c r="V20" s="67"/>
      <c r="W20" s="67">
        <v>2</v>
      </c>
      <c r="X20" s="108"/>
      <c r="Y20" s="109"/>
      <c r="Z20" s="65"/>
      <c r="AA20" s="65"/>
      <c r="AB20" s="65"/>
      <c r="AC20" s="65"/>
      <c r="AD20" s="65"/>
      <c r="AE20" s="66" t="s">
        <v>27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>SUM(G21:X21)</f>
        <v>36</v>
      </c>
      <c r="F21" s="73"/>
      <c r="G21" s="71">
        <v>2</v>
      </c>
      <c r="H21" s="71">
        <v>2</v>
      </c>
      <c r="I21" s="71">
        <v>2</v>
      </c>
      <c r="J21" s="71">
        <v>2</v>
      </c>
      <c r="K21" s="71">
        <v>2</v>
      </c>
      <c r="L21" s="71">
        <v>2</v>
      </c>
      <c r="M21" s="71">
        <v>2</v>
      </c>
      <c r="N21" s="71">
        <v>2</v>
      </c>
      <c r="O21" s="71">
        <v>2</v>
      </c>
      <c r="P21" s="71">
        <v>2</v>
      </c>
      <c r="Q21" s="71">
        <v>2</v>
      </c>
      <c r="R21" s="71">
        <v>2</v>
      </c>
      <c r="S21" s="71">
        <v>2</v>
      </c>
      <c r="T21" s="71">
        <v>2</v>
      </c>
      <c r="U21" s="71">
        <v>2</v>
      </c>
      <c r="V21" s="71">
        <v>2</v>
      </c>
      <c r="W21" s="71">
        <v>2</v>
      </c>
      <c r="X21" s="90">
        <v>2</v>
      </c>
      <c r="Y21" s="91"/>
      <c r="Z21" s="72"/>
      <c r="AA21" s="72"/>
      <c r="AB21" s="72"/>
      <c r="AC21" s="72"/>
      <c r="AD21" s="72"/>
      <c r="AE21" s="76"/>
      <c r="AM21" s="12"/>
      <c r="AN21" s="96"/>
      <c r="AO21" s="145"/>
      <c r="AP21" s="145"/>
      <c r="AQ21" s="11"/>
      <c r="AR21" s="11"/>
    </row>
    <row r="22" spans="1:44" s="4" customFormat="1" ht="19.5" thickBot="1">
      <c r="A22" s="88"/>
      <c r="B22" s="89"/>
      <c r="C22" s="79"/>
      <c r="D22" s="80"/>
      <c r="E22" s="80"/>
      <c r="F22" s="81">
        <f>SUM(G22:X22)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79"/>
      <c r="R22" s="79"/>
      <c r="S22" s="80"/>
      <c r="T22" s="80"/>
      <c r="U22" s="80"/>
      <c r="V22" s="80"/>
      <c r="W22" s="80"/>
      <c r="X22" s="92"/>
      <c r="Y22" s="86"/>
      <c r="Z22" s="87"/>
      <c r="AA22" s="87"/>
      <c r="AB22" s="87"/>
      <c r="AC22" s="87"/>
      <c r="AD22" s="87"/>
      <c r="AE22" s="81">
        <v>36</v>
      </c>
      <c r="AM22" s="12"/>
      <c r="AN22" s="96"/>
      <c r="AO22" s="145"/>
      <c r="AP22" s="145"/>
      <c r="AQ22" s="11"/>
      <c r="AR22" s="11"/>
    </row>
    <row r="23" spans="1:44" s="4" customFormat="1" ht="37.5">
      <c r="A23" s="82">
        <v>17</v>
      </c>
      <c r="B23" s="83" t="s">
        <v>36</v>
      </c>
      <c r="C23" s="64">
        <f t="shared" ref="C23" si="4">SUM(D23:F25)</f>
        <v>36</v>
      </c>
      <c r="D23" s="65">
        <f t="shared" ref="D23" si="5">SUM(G23:X23)</f>
        <v>18</v>
      </c>
      <c r="E23" s="65"/>
      <c r="F23" s="66"/>
      <c r="G23" s="67">
        <v>2</v>
      </c>
      <c r="H23" s="67"/>
      <c r="I23" s="67">
        <v>2</v>
      </c>
      <c r="J23" s="67"/>
      <c r="K23" s="67">
        <v>2</v>
      </c>
      <c r="L23" s="67"/>
      <c r="M23" s="67">
        <v>2</v>
      </c>
      <c r="N23" s="67"/>
      <c r="O23" s="67">
        <v>2</v>
      </c>
      <c r="P23" s="67"/>
      <c r="Q23" s="67">
        <v>2</v>
      </c>
      <c r="R23" s="67"/>
      <c r="S23" s="67">
        <v>2</v>
      </c>
      <c r="T23" s="67"/>
      <c r="U23" s="67">
        <v>2</v>
      </c>
      <c r="V23" s="67"/>
      <c r="W23" s="67">
        <v>2</v>
      </c>
      <c r="X23" s="108"/>
      <c r="Y23" s="109"/>
      <c r="Z23" s="65"/>
      <c r="AA23" s="65"/>
      <c r="AB23" s="65"/>
      <c r="AC23" s="65"/>
      <c r="AD23" s="65"/>
      <c r="AE23" s="66" t="s">
        <v>15</v>
      </c>
      <c r="AM23" s="11"/>
      <c r="AN23" s="11"/>
      <c r="AO23" s="11"/>
      <c r="AP23" s="11"/>
      <c r="AQ23" s="11"/>
      <c r="AR23" s="11"/>
    </row>
    <row r="24" spans="1:44" s="4" customFormat="1">
      <c r="A24" s="84"/>
      <c r="B24" s="85"/>
      <c r="C24" s="71"/>
      <c r="D24" s="72"/>
      <c r="E24" s="72">
        <f t="shared" ref="E24" si="6">SUM(G24:X24)</f>
        <v>18</v>
      </c>
      <c r="F24" s="73"/>
      <c r="G24" s="71"/>
      <c r="H24" s="71">
        <v>2</v>
      </c>
      <c r="I24" s="71"/>
      <c r="J24" s="71">
        <v>2</v>
      </c>
      <c r="K24" s="71"/>
      <c r="L24" s="71">
        <v>2</v>
      </c>
      <c r="M24" s="71"/>
      <c r="N24" s="71">
        <v>2</v>
      </c>
      <c r="O24" s="71"/>
      <c r="P24" s="71">
        <v>2</v>
      </c>
      <c r="Q24" s="71"/>
      <c r="R24" s="71">
        <v>2</v>
      </c>
      <c r="S24" s="71"/>
      <c r="T24" s="71">
        <v>2</v>
      </c>
      <c r="U24" s="71"/>
      <c r="V24" s="71">
        <v>2</v>
      </c>
      <c r="W24" s="71"/>
      <c r="X24" s="110">
        <v>2</v>
      </c>
      <c r="Y24" s="91"/>
      <c r="Z24" s="72"/>
      <c r="AA24" s="72"/>
      <c r="AB24" s="72"/>
      <c r="AC24" s="72"/>
      <c r="AD24" s="72"/>
      <c r="AE24" s="76"/>
      <c r="AM24" s="12"/>
      <c r="AN24" s="96"/>
      <c r="AO24" s="145"/>
      <c r="AP24" s="145"/>
      <c r="AQ24" s="11"/>
      <c r="AR24" s="11"/>
    </row>
    <row r="25" spans="1:44" s="4" customFormat="1" ht="19.5" thickBot="1">
      <c r="A25" s="88"/>
      <c r="B25" s="89"/>
      <c r="C25" s="79"/>
      <c r="D25" s="80"/>
      <c r="E25" s="80"/>
      <c r="F25" s="81">
        <f t="shared" ref="F25" si="7">SUM(G25:X25)</f>
        <v>0</v>
      </c>
      <c r="G25" s="79"/>
      <c r="H25" s="80"/>
      <c r="I25" s="80"/>
      <c r="J25" s="79"/>
      <c r="K25" s="79"/>
      <c r="L25" s="80"/>
      <c r="M25" s="80"/>
      <c r="N25" s="80"/>
      <c r="O25" s="80"/>
      <c r="P25" s="80"/>
      <c r="Q25" s="79"/>
      <c r="R25" s="79"/>
      <c r="S25" s="80"/>
      <c r="T25" s="80"/>
      <c r="U25" s="80"/>
      <c r="V25" s="80"/>
      <c r="W25" s="80"/>
      <c r="X25" s="92"/>
      <c r="Y25" s="86"/>
      <c r="Z25" s="87"/>
      <c r="AA25" s="87"/>
      <c r="AB25" s="87"/>
      <c r="AC25" s="87"/>
      <c r="AD25" s="87"/>
      <c r="AE25" s="81">
        <v>9</v>
      </c>
      <c r="AM25" s="12"/>
      <c r="AN25" s="96"/>
      <c r="AO25" s="145"/>
      <c r="AP25" s="145"/>
      <c r="AQ25" s="11"/>
      <c r="AR25" s="11"/>
    </row>
    <row r="26" spans="1:44" s="4" customFormat="1" ht="19.5" thickBot="1">
      <c r="A26" s="161" t="s">
        <v>38</v>
      </c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3"/>
      <c r="AM26" s="11"/>
      <c r="AN26" s="11"/>
      <c r="AO26" s="11"/>
      <c r="AP26" s="11"/>
      <c r="AQ26" s="11"/>
      <c r="AR26" s="11"/>
    </row>
    <row r="27" spans="1:44" s="4" customFormat="1" ht="19.5">
      <c r="A27" s="82">
        <v>17</v>
      </c>
      <c r="B27" s="83" t="s">
        <v>33</v>
      </c>
      <c r="C27" s="64">
        <f t="shared" ref="C27" si="8">SUM(D27:F29)</f>
        <v>40</v>
      </c>
      <c r="D27" s="65">
        <f t="shared" ref="D27" si="9">SUM(G27:Z27)</f>
        <v>20</v>
      </c>
      <c r="E27" s="65"/>
      <c r="F27" s="66"/>
      <c r="G27" s="67">
        <v>2</v>
      </c>
      <c r="H27" s="75"/>
      <c r="I27" s="75">
        <v>2</v>
      </c>
      <c r="J27" s="67"/>
      <c r="K27" s="67">
        <v>2</v>
      </c>
      <c r="L27" s="68"/>
      <c r="M27" s="68">
        <v>2</v>
      </c>
      <c r="N27" s="68"/>
      <c r="O27" s="68">
        <v>2</v>
      </c>
      <c r="P27" s="68"/>
      <c r="Q27" s="67">
        <v>2</v>
      </c>
      <c r="R27" s="67"/>
      <c r="S27" s="68">
        <v>2</v>
      </c>
      <c r="T27" s="68"/>
      <c r="U27" s="68">
        <v>2</v>
      </c>
      <c r="V27" s="68"/>
      <c r="W27" s="68">
        <v>2</v>
      </c>
      <c r="X27" s="111"/>
      <c r="Y27" s="68">
        <v>2</v>
      </c>
      <c r="Z27" s="66"/>
      <c r="AA27" s="64"/>
      <c r="AB27" s="65"/>
      <c r="AC27" s="65"/>
      <c r="AD27" s="65"/>
      <c r="AE27" s="66" t="s">
        <v>27</v>
      </c>
      <c r="AM27" s="11"/>
      <c r="AN27" s="11"/>
      <c r="AO27" s="11"/>
      <c r="AP27" s="11"/>
      <c r="AQ27" s="11"/>
      <c r="AR27" s="11"/>
    </row>
    <row r="28" spans="1:44" s="4" customFormat="1">
      <c r="A28" s="84"/>
      <c r="B28" s="85"/>
      <c r="C28" s="71"/>
      <c r="D28" s="72"/>
      <c r="E28" s="72">
        <f t="shared" ref="E28" si="10">SUM(G28:Z28)</f>
        <v>20</v>
      </c>
      <c r="F28" s="73"/>
      <c r="G28" s="91"/>
      <c r="H28" s="74">
        <v>2</v>
      </c>
      <c r="I28" s="75"/>
      <c r="J28" s="72">
        <v>2</v>
      </c>
      <c r="K28" s="71"/>
      <c r="L28" s="71">
        <v>2</v>
      </c>
      <c r="M28" s="72"/>
      <c r="N28" s="72">
        <v>2</v>
      </c>
      <c r="O28" s="72"/>
      <c r="P28" s="72">
        <v>2</v>
      </c>
      <c r="Q28" s="72"/>
      <c r="R28" s="71">
        <v>2</v>
      </c>
      <c r="S28" s="71"/>
      <c r="T28" s="72">
        <v>2</v>
      </c>
      <c r="U28" s="72"/>
      <c r="V28" s="72">
        <v>2</v>
      </c>
      <c r="W28" s="72"/>
      <c r="X28" s="110">
        <v>2</v>
      </c>
      <c r="Y28" s="72"/>
      <c r="Z28" s="73">
        <v>2</v>
      </c>
      <c r="AA28" s="71"/>
      <c r="AB28" s="72"/>
      <c r="AC28" s="72"/>
      <c r="AD28" s="72"/>
      <c r="AE28" s="76"/>
      <c r="AM28" s="12"/>
      <c r="AN28" s="96"/>
      <c r="AO28" s="145"/>
      <c r="AP28" s="145"/>
      <c r="AQ28" s="11"/>
      <c r="AR28" s="11"/>
    </row>
    <row r="29" spans="1:44" s="4" customFormat="1" ht="19.5" thickBot="1">
      <c r="A29" s="112"/>
      <c r="B29" s="89"/>
      <c r="C29" s="79"/>
      <c r="D29" s="80"/>
      <c r="E29" s="80"/>
      <c r="F29" s="81">
        <f t="shared" ref="F29" si="11">SUM(G29:Z29)</f>
        <v>0</v>
      </c>
      <c r="G29" s="79"/>
      <c r="H29" s="87"/>
      <c r="I29" s="87"/>
      <c r="J29" s="86"/>
      <c r="K29" s="86"/>
      <c r="L29" s="87"/>
      <c r="M29" s="87"/>
      <c r="N29" s="87"/>
      <c r="O29" s="87"/>
      <c r="P29" s="87"/>
      <c r="Q29" s="86"/>
      <c r="R29" s="86"/>
      <c r="S29" s="87"/>
      <c r="T29" s="87"/>
      <c r="U29" s="87"/>
      <c r="V29" s="87"/>
      <c r="W29" s="87"/>
      <c r="X29" s="113"/>
      <c r="Y29" s="87"/>
      <c r="Z29" s="92"/>
      <c r="AA29" s="86"/>
      <c r="AB29" s="87"/>
      <c r="AC29" s="87"/>
      <c r="AD29" s="87"/>
      <c r="AE29" s="81">
        <v>36</v>
      </c>
      <c r="AM29" s="12"/>
      <c r="AN29" s="96"/>
      <c r="AO29" s="145"/>
      <c r="AP29" s="145"/>
      <c r="AQ29" s="11"/>
      <c r="AR29" s="11"/>
    </row>
    <row r="30" spans="1:44" s="4" customFormat="1" ht="19.5" thickBot="1">
      <c r="A30" s="161" t="s">
        <v>39</v>
      </c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3"/>
      <c r="AM30" s="11"/>
      <c r="AN30" s="11"/>
      <c r="AO30" s="11"/>
      <c r="AP30" s="11"/>
      <c r="AQ30" s="11"/>
      <c r="AR30" s="11"/>
    </row>
    <row r="31" spans="1:44" s="4" customFormat="1" ht="19.5">
      <c r="A31" s="82">
        <v>17</v>
      </c>
      <c r="B31" s="83" t="s">
        <v>33</v>
      </c>
      <c r="C31" s="64">
        <f t="shared" ref="C31" si="12">SUM(D31:F33)</f>
        <v>36</v>
      </c>
      <c r="D31" s="65">
        <f t="shared" ref="D31" si="13">SUM(G31:X31)</f>
        <v>18</v>
      </c>
      <c r="E31" s="65"/>
      <c r="F31" s="66"/>
      <c r="G31" s="67">
        <v>2</v>
      </c>
      <c r="H31" s="68"/>
      <c r="I31" s="68">
        <v>2</v>
      </c>
      <c r="J31" s="67"/>
      <c r="K31" s="64">
        <v>2</v>
      </c>
      <c r="L31" s="65"/>
      <c r="M31" s="65">
        <v>2</v>
      </c>
      <c r="N31" s="65"/>
      <c r="O31" s="65">
        <v>2</v>
      </c>
      <c r="P31" s="65"/>
      <c r="Q31" s="64">
        <v>2</v>
      </c>
      <c r="R31" s="64"/>
      <c r="S31" s="65">
        <v>2</v>
      </c>
      <c r="T31" s="65"/>
      <c r="U31" s="65">
        <v>2</v>
      </c>
      <c r="V31" s="65"/>
      <c r="W31" s="65">
        <v>2</v>
      </c>
      <c r="X31" s="66"/>
      <c r="Y31" s="64"/>
      <c r="Z31" s="65"/>
      <c r="AA31" s="65"/>
      <c r="AB31" s="65"/>
      <c r="AC31" s="65"/>
      <c r="AD31" s="65"/>
      <c r="AE31" s="66" t="s">
        <v>27</v>
      </c>
      <c r="AM31" s="11"/>
      <c r="AN31" s="11"/>
      <c r="AO31" s="11"/>
      <c r="AP31" s="11"/>
      <c r="AQ31" s="11"/>
      <c r="AR31" s="11"/>
    </row>
    <row r="32" spans="1:44" s="4" customFormat="1">
      <c r="A32" s="84"/>
      <c r="B32" s="85"/>
      <c r="C32" s="71"/>
      <c r="D32" s="72"/>
      <c r="E32" s="72">
        <f t="shared" ref="E32" si="14">SUM(G32:X32)</f>
        <v>18</v>
      </c>
      <c r="F32" s="73"/>
      <c r="G32" s="71"/>
      <c r="H32" s="71">
        <v>2</v>
      </c>
      <c r="I32" s="71"/>
      <c r="J32" s="71">
        <v>2</v>
      </c>
      <c r="K32" s="71"/>
      <c r="L32" s="71">
        <v>2</v>
      </c>
      <c r="M32" s="71"/>
      <c r="N32" s="71">
        <v>2</v>
      </c>
      <c r="O32" s="71"/>
      <c r="P32" s="71">
        <v>2</v>
      </c>
      <c r="Q32" s="71"/>
      <c r="R32" s="71">
        <v>2</v>
      </c>
      <c r="S32" s="71"/>
      <c r="T32" s="71">
        <v>2</v>
      </c>
      <c r="U32" s="71"/>
      <c r="V32" s="71">
        <v>2</v>
      </c>
      <c r="W32" s="71"/>
      <c r="X32" s="90">
        <v>2</v>
      </c>
      <c r="Y32" s="91"/>
      <c r="Z32" s="72"/>
      <c r="AA32" s="72"/>
      <c r="AB32" s="72"/>
      <c r="AC32" s="72"/>
      <c r="AD32" s="72"/>
      <c r="AE32" s="76"/>
      <c r="AM32" s="12"/>
      <c r="AN32" s="96"/>
      <c r="AO32" s="145"/>
      <c r="AP32" s="145"/>
      <c r="AQ32" s="11"/>
      <c r="AR32" s="11"/>
    </row>
    <row r="33" spans="1:44" s="4" customFormat="1" ht="19.5" thickBot="1">
      <c r="A33" s="112"/>
      <c r="B33" s="89"/>
      <c r="C33" s="79"/>
      <c r="D33" s="80"/>
      <c r="E33" s="80"/>
      <c r="F33" s="81">
        <f t="shared" ref="F33" si="15">SUM(G33:X33)</f>
        <v>0</v>
      </c>
      <c r="G33" s="79"/>
      <c r="H33" s="80"/>
      <c r="I33" s="80"/>
      <c r="J33" s="79"/>
      <c r="K33" s="79"/>
      <c r="L33" s="80"/>
      <c r="M33" s="80"/>
      <c r="N33" s="80"/>
      <c r="O33" s="80"/>
      <c r="P33" s="80"/>
      <c r="Q33" s="86"/>
      <c r="R33" s="86"/>
      <c r="S33" s="87"/>
      <c r="T33" s="87"/>
      <c r="U33" s="87"/>
      <c r="V33" s="87"/>
      <c r="W33" s="87"/>
      <c r="X33" s="92"/>
      <c r="Y33" s="86"/>
      <c r="Z33" s="87"/>
      <c r="AA33" s="87"/>
      <c r="AB33" s="87"/>
      <c r="AC33" s="87"/>
      <c r="AD33" s="87"/>
      <c r="AE33" s="81">
        <v>36</v>
      </c>
      <c r="AM33" s="12"/>
      <c r="AN33" s="96"/>
      <c r="AO33" s="145"/>
      <c r="AP33" s="145"/>
      <c r="AQ33" s="11"/>
      <c r="AR33" s="11"/>
    </row>
    <row r="34" spans="1:44" s="4" customFormat="1" ht="19.5" thickBot="1">
      <c r="A34" s="161" t="s">
        <v>41</v>
      </c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3"/>
      <c r="AM34" s="11"/>
      <c r="AN34" s="11"/>
      <c r="AO34" s="11"/>
      <c r="AP34" s="11"/>
      <c r="AQ34" s="11"/>
      <c r="AR34" s="11"/>
    </row>
    <row r="35" spans="1:44" s="4" customFormat="1" ht="19.5">
      <c r="A35" s="82">
        <v>17</v>
      </c>
      <c r="B35" s="83" t="s">
        <v>40</v>
      </c>
      <c r="C35" s="64">
        <f>SUM(D35:F37)</f>
        <v>54</v>
      </c>
      <c r="D35" s="65">
        <f>SUM(G35:X35)</f>
        <v>18</v>
      </c>
      <c r="E35" s="65"/>
      <c r="F35" s="66"/>
      <c r="G35" s="67">
        <v>2</v>
      </c>
      <c r="H35" s="68"/>
      <c r="I35" s="68">
        <v>2</v>
      </c>
      <c r="J35" s="67"/>
      <c r="K35" s="64">
        <v>2</v>
      </c>
      <c r="L35" s="65"/>
      <c r="M35" s="65">
        <v>2</v>
      </c>
      <c r="N35" s="65"/>
      <c r="O35" s="65">
        <v>2</v>
      </c>
      <c r="P35" s="65"/>
      <c r="Q35" s="64">
        <v>2</v>
      </c>
      <c r="R35" s="64"/>
      <c r="S35" s="65">
        <v>2</v>
      </c>
      <c r="T35" s="65"/>
      <c r="U35" s="65">
        <v>2</v>
      </c>
      <c r="V35" s="65"/>
      <c r="W35" s="65">
        <v>2</v>
      </c>
      <c r="X35" s="65"/>
      <c r="Y35" s="64"/>
      <c r="Z35" s="65"/>
      <c r="AA35" s="65"/>
      <c r="AB35" s="65"/>
      <c r="AC35" s="65"/>
      <c r="AD35" s="65"/>
      <c r="AE35" s="66" t="s">
        <v>19</v>
      </c>
      <c r="AM35" s="11"/>
      <c r="AN35" s="11"/>
      <c r="AO35" s="11"/>
      <c r="AP35" s="11"/>
      <c r="AQ35" s="11"/>
      <c r="AR35" s="11"/>
    </row>
    <row r="36" spans="1:44" s="4" customFormat="1">
      <c r="A36" s="84"/>
      <c r="B36" s="85"/>
      <c r="C36" s="71"/>
      <c r="D36" s="72"/>
      <c r="E36" s="72">
        <f>SUM(G36:X36)</f>
        <v>36</v>
      </c>
      <c r="F36" s="73"/>
      <c r="G36" s="71">
        <v>2</v>
      </c>
      <c r="H36" s="71">
        <v>2</v>
      </c>
      <c r="I36" s="71">
        <v>2</v>
      </c>
      <c r="J36" s="71">
        <v>2</v>
      </c>
      <c r="K36" s="71">
        <v>2</v>
      </c>
      <c r="L36" s="71">
        <v>2</v>
      </c>
      <c r="M36" s="71">
        <v>2</v>
      </c>
      <c r="N36" s="71">
        <v>2</v>
      </c>
      <c r="O36" s="71">
        <v>2</v>
      </c>
      <c r="P36" s="71">
        <v>2</v>
      </c>
      <c r="Q36" s="71">
        <v>2</v>
      </c>
      <c r="R36" s="71">
        <v>2</v>
      </c>
      <c r="S36" s="71">
        <v>2</v>
      </c>
      <c r="T36" s="71">
        <v>2</v>
      </c>
      <c r="U36" s="71">
        <v>2</v>
      </c>
      <c r="V36" s="71">
        <v>2</v>
      </c>
      <c r="W36" s="71">
        <v>2</v>
      </c>
      <c r="X36" s="72">
        <v>2</v>
      </c>
      <c r="Y36" s="71"/>
      <c r="Z36" s="72"/>
      <c r="AA36" s="72"/>
      <c r="AB36" s="72"/>
      <c r="AC36" s="72"/>
      <c r="AD36" s="72"/>
      <c r="AE36" s="76"/>
      <c r="AM36" s="12"/>
      <c r="AN36" s="96"/>
      <c r="AO36" s="145"/>
      <c r="AP36" s="145"/>
      <c r="AQ36" s="11"/>
      <c r="AR36" s="11"/>
    </row>
    <row r="37" spans="1:44" s="4" customFormat="1" ht="19.5" thickBot="1">
      <c r="A37" s="165" t="s">
        <v>42</v>
      </c>
      <c r="B37" s="165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M37" s="12"/>
      <c r="AN37" s="96"/>
      <c r="AO37" s="145"/>
      <c r="AP37" s="145"/>
      <c r="AQ37" s="11"/>
      <c r="AR37" s="11"/>
    </row>
    <row r="38" spans="1:44" s="4" customFormat="1" ht="19.5" thickBot="1">
      <c r="A38" s="164" t="s">
        <v>90</v>
      </c>
      <c r="B38" s="164"/>
      <c r="C38" s="164"/>
      <c r="D38" s="164"/>
      <c r="E38" s="164"/>
      <c r="F38" s="164"/>
      <c r="G38" s="164"/>
      <c r="H38" s="164"/>
      <c r="I38" s="164"/>
      <c r="J38" s="164"/>
      <c r="K38" s="150"/>
      <c r="L38" s="150"/>
      <c r="M38" s="150"/>
      <c r="N38" s="150"/>
      <c r="O38" s="150"/>
      <c r="P38" s="150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M38" s="12"/>
      <c r="AN38" s="96"/>
      <c r="AO38" s="142"/>
      <c r="AP38" s="142"/>
      <c r="AQ38" s="11"/>
      <c r="AR38" s="11"/>
    </row>
    <row r="39" spans="1:44" ht="20.25" customHeight="1">
      <c r="A39" s="82">
        <v>17</v>
      </c>
      <c r="B39" s="83" t="s">
        <v>43</v>
      </c>
      <c r="C39" s="64">
        <f t="shared" ref="C39" si="16">SUM(D39:F41)</f>
        <v>54</v>
      </c>
      <c r="D39" s="65">
        <f t="shared" ref="D39" si="17">SUM(G39:AD39)</f>
        <v>18</v>
      </c>
      <c r="E39" s="65"/>
      <c r="F39" s="66"/>
      <c r="G39" s="64">
        <v>2</v>
      </c>
      <c r="H39" s="65"/>
      <c r="I39" s="65">
        <v>2</v>
      </c>
      <c r="J39" s="64"/>
      <c r="K39" s="64">
        <v>2</v>
      </c>
      <c r="L39" s="65"/>
      <c r="M39" s="65">
        <v>2</v>
      </c>
      <c r="N39" s="65"/>
      <c r="O39" s="65">
        <v>2</v>
      </c>
      <c r="P39" s="65"/>
      <c r="Q39" s="64">
        <v>2</v>
      </c>
      <c r="R39" s="64"/>
      <c r="S39" s="65">
        <v>2</v>
      </c>
      <c r="T39" s="65"/>
      <c r="U39" s="65">
        <v>2</v>
      </c>
      <c r="V39" s="65"/>
      <c r="W39" s="65">
        <v>2</v>
      </c>
      <c r="X39" s="65"/>
      <c r="Y39" s="65"/>
      <c r="Z39" s="65"/>
      <c r="AA39" s="65"/>
      <c r="AB39" s="65"/>
      <c r="AC39" s="65"/>
      <c r="AD39" s="65"/>
      <c r="AE39" s="66" t="s">
        <v>89</v>
      </c>
    </row>
    <row r="40" spans="1:44">
      <c r="A40" s="84"/>
      <c r="B40" s="85"/>
      <c r="C40" s="71"/>
      <c r="D40" s="72"/>
      <c r="E40" s="72">
        <f t="shared" ref="E40" si="18">SUM(G40:X40)</f>
        <v>36</v>
      </c>
      <c r="F40" s="73"/>
      <c r="G40" s="103"/>
      <c r="H40" s="103">
        <v>4</v>
      </c>
      <c r="I40" s="103"/>
      <c r="J40" s="103">
        <v>4</v>
      </c>
      <c r="K40" s="103"/>
      <c r="L40" s="103">
        <v>4</v>
      </c>
      <c r="M40" s="103"/>
      <c r="N40" s="103">
        <v>4</v>
      </c>
      <c r="O40" s="103"/>
      <c r="P40" s="103">
        <v>4</v>
      </c>
      <c r="Q40" s="103"/>
      <c r="R40" s="103">
        <v>4</v>
      </c>
      <c r="S40" s="103"/>
      <c r="T40" s="103">
        <v>4</v>
      </c>
      <c r="U40" s="103"/>
      <c r="V40" s="103">
        <v>4</v>
      </c>
      <c r="W40" s="103"/>
      <c r="X40" s="103">
        <v>4</v>
      </c>
      <c r="Y40" s="72"/>
      <c r="Z40" s="72"/>
      <c r="AA40" s="72"/>
      <c r="AB40" s="72"/>
      <c r="AC40" s="72"/>
      <c r="AD40" s="72"/>
      <c r="AE40" s="76"/>
    </row>
    <row r="41" spans="1:44" ht="19.5" thickBot="1">
      <c r="A41" s="88"/>
      <c r="B41" s="89"/>
      <c r="C41" s="79"/>
      <c r="D41" s="80"/>
      <c r="E41" s="80"/>
      <c r="F41" s="81">
        <f t="shared" ref="F41" si="19">SUM(G41:AD41)</f>
        <v>0</v>
      </c>
      <c r="G41" s="86"/>
      <c r="H41" s="87"/>
      <c r="I41" s="86"/>
      <c r="J41" s="86"/>
      <c r="K41" s="86"/>
      <c r="L41" s="87"/>
      <c r="M41" s="87"/>
      <c r="N41" s="87"/>
      <c r="O41" s="87"/>
      <c r="P41" s="87"/>
      <c r="Q41" s="86"/>
      <c r="R41" s="86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1">
        <v>36</v>
      </c>
    </row>
    <row r="42" spans="1:44" s="4" customFormat="1" ht="19.5" thickBot="1">
      <c r="A42" s="161" t="s">
        <v>44</v>
      </c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3"/>
    </row>
    <row r="43" spans="1:44" s="4" customFormat="1" ht="19.5">
      <c r="A43" s="82">
        <v>17</v>
      </c>
      <c r="B43" s="83" t="s">
        <v>43</v>
      </c>
      <c r="C43" s="64">
        <f>SUM(D43:F45)</f>
        <v>54</v>
      </c>
      <c r="D43" s="65">
        <f>SUM(G43:X43)</f>
        <v>18</v>
      </c>
      <c r="E43" s="65"/>
      <c r="F43" s="66"/>
      <c r="G43" s="64">
        <v>2</v>
      </c>
      <c r="H43" s="65"/>
      <c r="I43" s="65">
        <v>2</v>
      </c>
      <c r="J43" s="65"/>
      <c r="K43" s="64">
        <v>2</v>
      </c>
      <c r="L43" s="65"/>
      <c r="M43" s="65">
        <v>2</v>
      </c>
      <c r="N43" s="65"/>
      <c r="O43" s="65">
        <v>2</v>
      </c>
      <c r="P43" s="65"/>
      <c r="Q43" s="64">
        <v>2</v>
      </c>
      <c r="R43" s="64"/>
      <c r="S43" s="65">
        <v>2</v>
      </c>
      <c r="T43" s="65"/>
      <c r="U43" s="65">
        <v>2</v>
      </c>
      <c r="V43" s="65"/>
      <c r="W43" s="65">
        <v>2</v>
      </c>
      <c r="X43" s="66"/>
      <c r="Y43" s="64"/>
      <c r="Z43" s="65"/>
      <c r="AA43" s="65"/>
      <c r="AB43" s="65"/>
      <c r="AC43" s="65"/>
      <c r="AD43" s="65"/>
      <c r="AE43" s="66" t="s">
        <v>15</v>
      </c>
      <c r="AM43" s="11"/>
      <c r="AN43" s="11"/>
      <c r="AO43" s="11"/>
      <c r="AP43" s="11"/>
      <c r="AQ43" s="11"/>
      <c r="AR43" s="11"/>
    </row>
    <row r="44" spans="1:44" s="4" customFormat="1">
      <c r="A44" s="84"/>
      <c r="B44" s="85"/>
      <c r="C44" s="71"/>
      <c r="D44" s="72"/>
      <c r="E44" s="72">
        <f>SUM(G44:X44)</f>
        <v>36</v>
      </c>
      <c r="F44" s="73"/>
      <c r="G44" s="71"/>
      <c r="H44" s="71">
        <v>4</v>
      </c>
      <c r="I44" s="71"/>
      <c r="J44" s="71">
        <v>4</v>
      </c>
      <c r="K44" s="71"/>
      <c r="L44" s="71">
        <v>4</v>
      </c>
      <c r="M44" s="71"/>
      <c r="N44" s="71">
        <v>4</v>
      </c>
      <c r="O44" s="71"/>
      <c r="P44" s="71">
        <v>4</v>
      </c>
      <c r="Q44" s="71"/>
      <c r="R44" s="71">
        <v>4</v>
      </c>
      <c r="S44" s="71"/>
      <c r="T44" s="71">
        <v>4</v>
      </c>
      <c r="U44" s="71"/>
      <c r="V44" s="71">
        <v>4</v>
      </c>
      <c r="W44" s="71"/>
      <c r="X44" s="73">
        <v>4</v>
      </c>
      <c r="Y44" s="71"/>
      <c r="Z44" s="72"/>
      <c r="AA44" s="72"/>
      <c r="AB44" s="72"/>
      <c r="AC44" s="72"/>
      <c r="AD44" s="72"/>
      <c r="AE44" s="76"/>
      <c r="AM44" s="12"/>
      <c r="AN44" s="96"/>
      <c r="AO44" s="145"/>
      <c r="AP44" s="145"/>
      <c r="AQ44" s="11"/>
      <c r="AR44" s="11"/>
    </row>
    <row r="45" spans="1:44" s="4" customFormat="1" ht="19.5" thickBot="1">
      <c r="A45" s="88"/>
      <c r="B45" s="89"/>
      <c r="C45" s="79"/>
      <c r="D45" s="80"/>
      <c r="E45" s="80"/>
      <c r="F45" s="81">
        <f>SUM(G45:X45)</f>
        <v>0</v>
      </c>
      <c r="G45" s="79"/>
      <c r="H45" s="80"/>
      <c r="I45" s="80"/>
      <c r="J45" s="80"/>
      <c r="K45" s="79"/>
      <c r="L45" s="80"/>
      <c r="M45" s="80"/>
      <c r="N45" s="80"/>
      <c r="O45" s="80"/>
      <c r="P45" s="80"/>
      <c r="Q45" s="79"/>
      <c r="R45" s="79"/>
      <c r="S45" s="80"/>
      <c r="T45" s="80"/>
      <c r="U45" s="80"/>
      <c r="V45" s="80"/>
      <c r="W45" s="80"/>
      <c r="X45" s="81"/>
      <c r="Y45" s="79"/>
      <c r="Z45" s="80"/>
      <c r="AA45" s="80"/>
      <c r="AB45" s="80"/>
      <c r="AC45" s="80"/>
      <c r="AD45" s="80"/>
      <c r="AE45" s="81">
        <v>18</v>
      </c>
      <c r="AM45" s="12"/>
      <c r="AN45" s="96"/>
      <c r="AO45" s="145"/>
      <c r="AP45" s="145"/>
      <c r="AQ45" s="11"/>
      <c r="AR45" s="11"/>
    </row>
    <row r="46" spans="1:44" s="4" customFormat="1" ht="19.5" thickBot="1">
      <c r="A46" s="161" t="s">
        <v>28</v>
      </c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3"/>
      <c r="AM46" s="11"/>
      <c r="AN46" s="11"/>
      <c r="AO46" s="11"/>
      <c r="AP46" s="11"/>
      <c r="AQ46" s="11"/>
      <c r="AR46" s="11"/>
    </row>
    <row r="47" spans="1:44" s="4" customFormat="1" ht="75">
      <c r="A47" s="82">
        <v>17</v>
      </c>
      <c r="B47" s="83" t="s">
        <v>45</v>
      </c>
      <c r="C47" s="64">
        <f>SUM(D47:F49)</f>
        <v>90</v>
      </c>
      <c r="D47" s="65">
        <f>SUM(G47:X47)</f>
        <v>36</v>
      </c>
      <c r="E47" s="65"/>
      <c r="F47" s="66"/>
      <c r="G47" s="114">
        <v>2</v>
      </c>
      <c r="H47" s="114">
        <v>2</v>
      </c>
      <c r="I47" s="114">
        <v>2</v>
      </c>
      <c r="J47" s="114">
        <v>2</v>
      </c>
      <c r="K47" s="114">
        <v>2</v>
      </c>
      <c r="L47" s="114">
        <v>2</v>
      </c>
      <c r="M47" s="114">
        <v>2</v>
      </c>
      <c r="N47" s="114">
        <v>2</v>
      </c>
      <c r="O47" s="114">
        <v>2</v>
      </c>
      <c r="P47" s="114">
        <v>2</v>
      </c>
      <c r="Q47" s="114">
        <v>2</v>
      </c>
      <c r="R47" s="114">
        <v>2</v>
      </c>
      <c r="S47" s="114">
        <v>2</v>
      </c>
      <c r="T47" s="114">
        <v>2</v>
      </c>
      <c r="U47" s="114">
        <v>2</v>
      </c>
      <c r="V47" s="114">
        <v>2</v>
      </c>
      <c r="W47" s="114">
        <v>2</v>
      </c>
      <c r="X47" s="100">
        <v>2</v>
      </c>
      <c r="Y47" s="64"/>
      <c r="Z47" s="65"/>
      <c r="AA47" s="65"/>
      <c r="AB47" s="65"/>
      <c r="AC47" s="65"/>
      <c r="AD47" s="65"/>
      <c r="AE47" s="66" t="s">
        <v>27</v>
      </c>
      <c r="AM47" s="11"/>
      <c r="AN47" s="11"/>
      <c r="AO47" s="11"/>
      <c r="AP47" s="11"/>
      <c r="AQ47" s="11"/>
      <c r="AR47" s="11"/>
    </row>
    <row r="48" spans="1:44" s="4" customFormat="1">
      <c r="A48" s="84"/>
      <c r="B48" s="85"/>
      <c r="C48" s="71"/>
      <c r="D48" s="72"/>
      <c r="E48" s="72">
        <f>SUM(G48:X48)</f>
        <v>54</v>
      </c>
      <c r="F48" s="73"/>
      <c r="G48" s="101">
        <v>2</v>
      </c>
      <c r="H48" s="101">
        <v>4</v>
      </c>
      <c r="I48" s="101">
        <v>2</v>
      </c>
      <c r="J48" s="101">
        <v>4</v>
      </c>
      <c r="K48" s="101">
        <v>2</v>
      </c>
      <c r="L48" s="101">
        <v>4</v>
      </c>
      <c r="M48" s="101">
        <v>2</v>
      </c>
      <c r="N48" s="101">
        <v>4</v>
      </c>
      <c r="O48" s="101">
        <v>2</v>
      </c>
      <c r="P48" s="101">
        <v>4</v>
      </c>
      <c r="Q48" s="101">
        <v>2</v>
      </c>
      <c r="R48" s="101">
        <v>4</v>
      </c>
      <c r="S48" s="101">
        <v>2</v>
      </c>
      <c r="T48" s="101">
        <v>4</v>
      </c>
      <c r="U48" s="101">
        <v>2</v>
      </c>
      <c r="V48" s="101">
        <v>4</v>
      </c>
      <c r="W48" s="101">
        <v>2</v>
      </c>
      <c r="X48" s="115">
        <v>4</v>
      </c>
      <c r="Y48" s="91"/>
      <c r="Z48" s="72"/>
      <c r="AA48" s="72"/>
      <c r="AB48" s="72"/>
      <c r="AC48" s="72"/>
      <c r="AD48" s="72"/>
      <c r="AE48" s="76"/>
      <c r="AM48" s="12"/>
      <c r="AN48" s="96"/>
      <c r="AO48" s="145"/>
      <c r="AP48" s="145"/>
      <c r="AQ48" s="11"/>
      <c r="AR48" s="11"/>
    </row>
    <row r="49" spans="1:44" s="4" customFormat="1" ht="19.5" thickBot="1">
      <c r="A49" s="88"/>
      <c r="B49" s="89"/>
      <c r="C49" s="79"/>
      <c r="D49" s="80"/>
      <c r="E49" s="80"/>
      <c r="F49" s="81">
        <f>SUM(G49:X49)</f>
        <v>0</v>
      </c>
      <c r="G49" s="102"/>
      <c r="H49" s="105"/>
      <c r="I49" s="105"/>
      <c r="J49" s="102"/>
      <c r="K49" s="102"/>
      <c r="L49" s="105"/>
      <c r="M49" s="105"/>
      <c r="N49" s="105"/>
      <c r="O49" s="105"/>
      <c r="P49" s="105"/>
      <c r="Q49" s="102"/>
      <c r="R49" s="102"/>
      <c r="S49" s="105"/>
      <c r="T49" s="105"/>
      <c r="U49" s="105"/>
      <c r="V49" s="105"/>
      <c r="W49" s="105"/>
      <c r="X49" s="116"/>
      <c r="Y49" s="86"/>
      <c r="Z49" s="87"/>
      <c r="AA49" s="87"/>
      <c r="AB49" s="87"/>
      <c r="AC49" s="87"/>
      <c r="AD49" s="87"/>
      <c r="AE49" s="81">
        <v>36</v>
      </c>
      <c r="AM49" s="12"/>
      <c r="AN49" s="96"/>
      <c r="AO49" s="145"/>
      <c r="AP49" s="145"/>
      <c r="AQ49" s="11"/>
      <c r="AR49" s="11"/>
    </row>
    <row r="50" spans="1:44" s="4" customFormat="1" ht="19.5" thickBot="1">
      <c r="A50" s="161" t="s">
        <v>22</v>
      </c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3"/>
    </row>
    <row r="51" spans="1:44" s="4" customFormat="1" ht="37.5">
      <c r="A51" s="82">
        <v>17</v>
      </c>
      <c r="B51" s="83" t="s">
        <v>35</v>
      </c>
      <c r="C51" s="64">
        <f t="shared" ref="C51" si="20">SUM(D51:F53)</f>
        <v>36</v>
      </c>
      <c r="D51" s="65">
        <f t="shared" ref="D51" si="21">SUM(G51:X51)</f>
        <v>18</v>
      </c>
      <c r="E51" s="65"/>
      <c r="F51" s="66"/>
      <c r="G51" s="64">
        <v>2</v>
      </c>
      <c r="H51" s="65"/>
      <c r="I51" s="65">
        <v>2</v>
      </c>
      <c r="J51" s="65"/>
      <c r="K51" s="64">
        <v>2</v>
      </c>
      <c r="L51" s="65"/>
      <c r="M51" s="65">
        <v>2</v>
      </c>
      <c r="N51" s="65"/>
      <c r="O51" s="65">
        <v>2</v>
      </c>
      <c r="P51" s="65"/>
      <c r="Q51" s="64">
        <v>2</v>
      </c>
      <c r="R51" s="64"/>
      <c r="S51" s="65">
        <v>2</v>
      </c>
      <c r="T51" s="65"/>
      <c r="U51" s="65">
        <v>2</v>
      </c>
      <c r="V51" s="65"/>
      <c r="W51" s="65">
        <v>2</v>
      </c>
      <c r="X51" s="66"/>
      <c r="Y51" s="64"/>
      <c r="Z51" s="65"/>
      <c r="AA51" s="65"/>
      <c r="AB51" s="65"/>
      <c r="AC51" s="65"/>
      <c r="AD51" s="65"/>
      <c r="AE51" s="66" t="s">
        <v>15</v>
      </c>
      <c r="AM51" s="11"/>
      <c r="AN51" s="11"/>
      <c r="AO51" s="11"/>
      <c r="AP51" s="11"/>
      <c r="AQ51" s="11"/>
      <c r="AR51" s="11"/>
    </row>
    <row r="52" spans="1:44" s="4" customFormat="1">
      <c r="A52" s="84"/>
      <c r="B52" s="85"/>
      <c r="C52" s="71"/>
      <c r="D52" s="72"/>
      <c r="E52" s="72">
        <f t="shared" ref="E52" si="22">SUM(G52:X52)</f>
        <v>18</v>
      </c>
      <c r="F52" s="73"/>
      <c r="G52" s="71"/>
      <c r="H52" s="72">
        <v>2</v>
      </c>
      <c r="I52" s="72"/>
      <c r="J52" s="72">
        <v>2</v>
      </c>
      <c r="K52" s="74"/>
      <c r="L52" s="75">
        <v>2</v>
      </c>
      <c r="M52" s="75"/>
      <c r="N52" s="75">
        <v>2</v>
      </c>
      <c r="O52" s="75"/>
      <c r="P52" s="75">
        <v>2</v>
      </c>
      <c r="Q52" s="75"/>
      <c r="R52" s="75">
        <v>2</v>
      </c>
      <c r="S52" s="75"/>
      <c r="T52" s="75">
        <v>2</v>
      </c>
      <c r="U52" s="75"/>
      <c r="V52" s="75">
        <v>2</v>
      </c>
      <c r="W52" s="75"/>
      <c r="X52" s="73">
        <v>2</v>
      </c>
      <c r="Y52" s="71"/>
      <c r="Z52" s="72"/>
      <c r="AA52" s="72"/>
      <c r="AB52" s="72"/>
      <c r="AC52" s="72"/>
      <c r="AD52" s="72"/>
      <c r="AE52" s="76"/>
      <c r="AM52" s="12"/>
      <c r="AN52" s="96"/>
      <c r="AO52" s="145"/>
      <c r="AP52" s="145"/>
      <c r="AQ52" s="11"/>
      <c r="AR52" s="11"/>
    </row>
    <row r="53" spans="1:44" s="4" customFormat="1" ht="19.5" thickBot="1">
      <c r="A53" s="88"/>
      <c r="B53" s="89"/>
      <c r="C53" s="79"/>
      <c r="D53" s="80"/>
      <c r="E53" s="80"/>
      <c r="F53" s="81">
        <f t="shared" ref="F53" si="23">SUM(G53:X53)</f>
        <v>0</v>
      </c>
      <c r="G53" s="79"/>
      <c r="H53" s="80"/>
      <c r="I53" s="80"/>
      <c r="J53" s="80"/>
      <c r="K53" s="79"/>
      <c r="L53" s="80"/>
      <c r="M53" s="80"/>
      <c r="N53" s="80"/>
      <c r="O53" s="80"/>
      <c r="P53" s="80"/>
      <c r="Q53" s="79"/>
      <c r="R53" s="79"/>
      <c r="S53" s="80"/>
      <c r="T53" s="80"/>
      <c r="U53" s="80"/>
      <c r="V53" s="80"/>
      <c r="W53" s="80"/>
      <c r="X53" s="81"/>
      <c r="Y53" s="86"/>
      <c r="Z53" s="87"/>
      <c r="AA53" s="87"/>
      <c r="AB53" s="87"/>
      <c r="AC53" s="87"/>
      <c r="AD53" s="87"/>
      <c r="AE53" s="81">
        <v>9</v>
      </c>
      <c r="AM53" s="12"/>
      <c r="AN53" s="96"/>
      <c r="AO53" s="145"/>
      <c r="AP53" s="145"/>
      <c r="AQ53" s="11"/>
      <c r="AR53" s="11"/>
    </row>
    <row r="54" spans="1:44" s="4" customFormat="1" ht="19.5" thickBot="1">
      <c r="A54" s="161" t="s">
        <v>23</v>
      </c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3"/>
      <c r="AM54" s="11"/>
      <c r="AN54" s="11"/>
      <c r="AO54" s="11"/>
      <c r="AP54" s="11"/>
      <c r="AQ54" s="11"/>
      <c r="AR54" s="11"/>
    </row>
    <row r="55" spans="1:44" s="4" customFormat="1" ht="75">
      <c r="A55" s="82">
        <v>17</v>
      </c>
      <c r="B55" s="83" t="s">
        <v>46</v>
      </c>
      <c r="C55" s="64">
        <f>SUM(D55:F57)</f>
        <v>54</v>
      </c>
      <c r="D55" s="65">
        <f>SUM(G55:X55)</f>
        <v>18</v>
      </c>
      <c r="E55" s="65"/>
      <c r="F55" s="66"/>
      <c r="G55" s="67">
        <v>2</v>
      </c>
      <c r="H55" s="68"/>
      <c r="I55" s="68">
        <v>2</v>
      </c>
      <c r="J55" s="67"/>
      <c r="K55" s="64">
        <v>2</v>
      </c>
      <c r="L55" s="65"/>
      <c r="M55" s="65">
        <v>2</v>
      </c>
      <c r="N55" s="65"/>
      <c r="O55" s="65">
        <v>2</v>
      </c>
      <c r="P55" s="65"/>
      <c r="Q55" s="64">
        <v>2</v>
      </c>
      <c r="R55" s="64"/>
      <c r="S55" s="65">
        <v>2</v>
      </c>
      <c r="T55" s="65"/>
      <c r="U55" s="65">
        <v>2</v>
      </c>
      <c r="V55" s="65"/>
      <c r="W55" s="65">
        <v>2</v>
      </c>
      <c r="X55" s="66"/>
      <c r="Y55" s="64"/>
      <c r="Z55" s="65"/>
      <c r="AA55" s="65"/>
      <c r="AB55" s="65"/>
      <c r="AC55" s="65"/>
      <c r="AD55" s="65"/>
      <c r="AE55" s="66" t="s">
        <v>27</v>
      </c>
      <c r="AM55" s="11"/>
      <c r="AN55" s="11"/>
      <c r="AO55" s="11"/>
      <c r="AP55" s="11"/>
      <c r="AQ55" s="11"/>
      <c r="AR55" s="11"/>
    </row>
    <row r="56" spans="1:44" s="4" customFormat="1">
      <c r="A56" s="84"/>
      <c r="B56" s="85"/>
      <c r="C56" s="71"/>
      <c r="D56" s="72"/>
      <c r="E56" s="72">
        <f>SUM(G56:X56)</f>
        <v>36</v>
      </c>
      <c r="F56" s="73"/>
      <c r="G56" s="71">
        <v>2</v>
      </c>
      <c r="H56" s="71">
        <v>2</v>
      </c>
      <c r="I56" s="71">
        <v>2</v>
      </c>
      <c r="J56" s="71">
        <v>2</v>
      </c>
      <c r="K56" s="71">
        <v>2</v>
      </c>
      <c r="L56" s="71">
        <v>2</v>
      </c>
      <c r="M56" s="71">
        <v>2</v>
      </c>
      <c r="N56" s="71">
        <v>2</v>
      </c>
      <c r="O56" s="71">
        <v>2</v>
      </c>
      <c r="P56" s="71">
        <v>2</v>
      </c>
      <c r="Q56" s="71">
        <v>2</v>
      </c>
      <c r="R56" s="71">
        <v>2</v>
      </c>
      <c r="S56" s="71">
        <v>2</v>
      </c>
      <c r="T56" s="71">
        <v>2</v>
      </c>
      <c r="U56" s="71">
        <v>2</v>
      </c>
      <c r="V56" s="71">
        <v>2</v>
      </c>
      <c r="W56" s="71">
        <v>2</v>
      </c>
      <c r="X56" s="90">
        <v>2</v>
      </c>
      <c r="Y56" s="91"/>
      <c r="Z56" s="72"/>
      <c r="AA56" s="72"/>
      <c r="AB56" s="72"/>
      <c r="AC56" s="72"/>
      <c r="AD56" s="72"/>
      <c r="AE56" s="76" t="s">
        <v>47</v>
      </c>
      <c r="AM56" s="12"/>
      <c r="AN56" s="96"/>
      <c r="AO56" s="145"/>
      <c r="AP56" s="145"/>
      <c r="AQ56" s="11"/>
      <c r="AR56" s="11"/>
    </row>
    <row r="57" spans="1:44" s="4" customFormat="1" ht="19.5" thickBot="1">
      <c r="A57" s="88"/>
      <c r="B57" s="89"/>
      <c r="C57" s="79"/>
      <c r="D57" s="80"/>
      <c r="E57" s="80"/>
      <c r="F57" s="81">
        <f>SUM(G57:X57)</f>
        <v>0</v>
      </c>
      <c r="G57" s="79"/>
      <c r="H57" s="80"/>
      <c r="I57" s="80"/>
      <c r="J57" s="79"/>
      <c r="K57" s="79"/>
      <c r="L57" s="80"/>
      <c r="M57" s="80"/>
      <c r="N57" s="80"/>
      <c r="O57" s="80"/>
      <c r="P57" s="80"/>
      <c r="Q57" s="79"/>
      <c r="R57" s="79"/>
      <c r="S57" s="80"/>
      <c r="T57" s="80"/>
      <c r="U57" s="80"/>
      <c r="V57" s="80"/>
      <c r="W57" s="80"/>
      <c r="X57" s="92"/>
      <c r="Y57" s="86"/>
      <c r="Z57" s="87"/>
      <c r="AA57" s="87"/>
      <c r="AB57" s="87"/>
      <c r="AC57" s="87"/>
      <c r="AD57" s="87"/>
      <c r="AE57" s="81">
        <v>36</v>
      </c>
      <c r="AM57" s="12"/>
      <c r="AN57" s="96"/>
      <c r="AO57" s="145"/>
      <c r="AP57" s="145"/>
      <c r="AQ57" s="11"/>
      <c r="AR57" s="11"/>
    </row>
    <row r="58" spans="1:44" ht="19.5" thickBot="1">
      <c r="A58" s="161" t="s">
        <v>50</v>
      </c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3"/>
    </row>
    <row r="59" spans="1:44" s="4" customFormat="1" ht="37.5">
      <c r="A59" s="82">
        <v>17</v>
      </c>
      <c r="B59" s="83" t="s">
        <v>48</v>
      </c>
      <c r="C59" s="64">
        <f>SUM(D59:F61)</f>
        <v>72</v>
      </c>
      <c r="D59" s="65">
        <f>SUM(G59:X59)</f>
        <v>36</v>
      </c>
      <c r="E59" s="65"/>
      <c r="F59" s="66"/>
      <c r="G59" s="67">
        <v>2</v>
      </c>
      <c r="H59" s="67">
        <v>2</v>
      </c>
      <c r="I59" s="67">
        <v>2</v>
      </c>
      <c r="J59" s="67">
        <v>2</v>
      </c>
      <c r="K59" s="67">
        <v>2</v>
      </c>
      <c r="L59" s="67">
        <v>2</v>
      </c>
      <c r="M59" s="67">
        <v>2</v>
      </c>
      <c r="N59" s="67">
        <v>2</v>
      </c>
      <c r="O59" s="67">
        <v>2</v>
      </c>
      <c r="P59" s="67">
        <v>2</v>
      </c>
      <c r="Q59" s="67">
        <v>2</v>
      </c>
      <c r="R59" s="67">
        <v>2</v>
      </c>
      <c r="S59" s="67">
        <v>2</v>
      </c>
      <c r="T59" s="67">
        <v>2</v>
      </c>
      <c r="U59" s="67">
        <v>2</v>
      </c>
      <c r="V59" s="67">
        <v>2</v>
      </c>
      <c r="W59" s="67">
        <v>2</v>
      </c>
      <c r="X59" s="66">
        <v>2</v>
      </c>
      <c r="Y59" s="64"/>
      <c r="Z59" s="65"/>
      <c r="AA59" s="65"/>
      <c r="AB59" s="65"/>
      <c r="AC59" s="65"/>
      <c r="AD59" s="65"/>
      <c r="AE59" s="66" t="s">
        <v>27</v>
      </c>
      <c r="AM59" s="11"/>
      <c r="AN59" s="11"/>
      <c r="AO59" s="11"/>
      <c r="AP59" s="11"/>
      <c r="AQ59" s="11"/>
      <c r="AR59" s="11"/>
    </row>
    <row r="60" spans="1:44" s="4" customFormat="1">
      <c r="A60" s="84"/>
      <c r="B60" s="85"/>
      <c r="C60" s="71"/>
      <c r="D60" s="72"/>
      <c r="E60" s="72">
        <f>SUM(G60:X60)</f>
        <v>36</v>
      </c>
      <c r="F60" s="73"/>
      <c r="G60" s="71">
        <v>2</v>
      </c>
      <c r="H60" s="71">
        <v>2</v>
      </c>
      <c r="I60" s="71">
        <v>2</v>
      </c>
      <c r="J60" s="71">
        <v>2</v>
      </c>
      <c r="K60" s="71">
        <v>2</v>
      </c>
      <c r="L60" s="71">
        <v>2</v>
      </c>
      <c r="M60" s="71">
        <v>2</v>
      </c>
      <c r="N60" s="71">
        <v>2</v>
      </c>
      <c r="O60" s="71">
        <v>2</v>
      </c>
      <c r="P60" s="71">
        <v>2</v>
      </c>
      <c r="Q60" s="71">
        <v>2</v>
      </c>
      <c r="R60" s="71">
        <v>2</v>
      </c>
      <c r="S60" s="71">
        <v>2</v>
      </c>
      <c r="T60" s="71">
        <v>2</v>
      </c>
      <c r="U60" s="71">
        <v>2</v>
      </c>
      <c r="V60" s="71">
        <v>2</v>
      </c>
      <c r="W60" s="71">
        <v>2</v>
      </c>
      <c r="X60" s="90">
        <v>2</v>
      </c>
      <c r="Y60" s="91"/>
      <c r="Z60" s="72"/>
      <c r="AA60" s="72"/>
      <c r="AB60" s="72"/>
      <c r="AC60" s="72"/>
      <c r="AD60" s="72"/>
      <c r="AE60" s="76" t="s">
        <v>47</v>
      </c>
      <c r="AM60" s="12"/>
      <c r="AN60" s="96"/>
      <c r="AO60" s="145"/>
      <c r="AP60" s="145"/>
      <c r="AQ60" s="11"/>
      <c r="AR60" s="11"/>
    </row>
    <row r="61" spans="1:44" s="4" customFormat="1" ht="19.5" thickBot="1">
      <c r="A61" s="84"/>
      <c r="B61" s="85"/>
      <c r="C61" s="79"/>
      <c r="D61" s="80"/>
      <c r="E61" s="80"/>
      <c r="F61" s="81">
        <f>SUM(G61:X61)</f>
        <v>0</v>
      </c>
      <c r="G61" s="86"/>
      <c r="H61" s="87"/>
      <c r="I61" s="86"/>
      <c r="J61" s="79"/>
      <c r="K61" s="86"/>
      <c r="L61" s="72"/>
      <c r="M61" s="72"/>
      <c r="N61" s="72"/>
      <c r="O61" s="72"/>
      <c r="P61" s="72"/>
      <c r="Q61" s="71"/>
      <c r="R61" s="71"/>
      <c r="S61" s="72"/>
      <c r="T61" s="72"/>
      <c r="U61" s="72"/>
      <c r="V61" s="72"/>
      <c r="W61" s="72"/>
      <c r="X61" s="73"/>
      <c r="Y61" s="71"/>
      <c r="Z61" s="72"/>
      <c r="AA61" s="72"/>
      <c r="AB61" s="72"/>
      <c r="AC61" s="72"/>
      <c r="AD61" s="72"/>
      <c r="AE61" s="81">
        <v>36</v>
      </c>
      <c r="AM61" s="12"/>
      <c r="AN61" s="96"/>
      <c r="AO61" s="145"/>
      <c r="AP61" s="145"/>
      <c r="AQ61" s="11"/>
      <c r="AR61" s="11"/>
    </row>
    <row r="62" spans="1:44" s="4" customFormat="1" ht="56.25">
      <c r="A62" s="62">
        <v>17</v>
      </c>
      <c r="B62" s="63" t="s">
        <v>49</v>
      </c>
      <c r="C62" s="64">
        <f>SUM(D62:F64)</f>
        <v>54</v>
      </c>
      <c r="D62" s="65">
        <f>SUM(G62:X62)</f>
        <v>18</v>
      </c>
      <c r="E62" s="65"/>
      <c r="F62" s="66"/>
      <c r="G62" s="64">
        <v>2</v>
      </c>
      <c r="H62" s="65"/>
      <c r="I62" s="65">
        <v>2</v>
      </c>
      <c r="J62" s="65"/>
      <c r="K62" s="64">
        <v>2</v>
      </c>
      <c r="L62" s="65"/>
      <c r="M62" s="65">
        <v>2</v>
      </c>
      <c r="N62" s="65"/>
      <c r="O62" s="65">
        <v>2</v>
      </c>
      <c r="P62" s="65"/>
      <c r="Q62" s="64">
        <v>2</v>
      </c>
      <c r="R62" s="64"/>
      <c r="S62" s="65">
        <v>2</v>
      </c>
      <c r="T62" s="65"/>
      <c r="U62" s="65">
        <v>2</v>
      </c>
      <c r="V62" s="65"/>
      <c r="W62" s="65">
        <v>2</v>
      </c>
      <c r="X62" s="66"/>
      <c r="Y62" s="64"/>
      <c r="Z62" s="65"/>
      <c r="AA62" s="65"/>
      <c r="AB62" s="65"/>
      <c r="AC62" s="65"/>
      <c r="AD62" s="65"/>
      <c r="AE62" s="66" t="s">
        <v>20</v>
      </c>
    </row>
    <row r="63" spans="1:44" s="4" customFormat="1" ht="19.5">
      <c r="A63" s="69"/>
      <c r="B63" s="70"/>
      <c r="C63" s="71"/>
      <c r="D63" s="72"/>
      <c r="E63" s="72">
        <f>SUM(G63:X63)</f>
        <v>36</v>
      </c>
      <c r="F63" s="73"/>
      <c r="G63" s="71"/>
      <c r="H63" s="72">
        <v>4</v>
      </c>
      <c r="I63" s="72"/>
      <c r="J63" s="72">
        <v>4</v>
      </c>
      <c r="K63" s="74"/>
      <c r="L63" s="75">
        <v>4</v>
      </c>
      <c r="M63" s="75"/>
      <c r="N63" s="75">
        <v>4</v>
      </c>
      <c r="O63" s="75"/>
      <c r="P63" s="75">
        <v>4</v>
      </c>
      <c r="Q63" s="75"/>
      <c r="R63" s="75">
        <v>4</v>
      </c>
      <c r="S63" s="75"/>
      <c r="T63" s="75">
        <v>4</v>
      </c>
      <c r="U63" s="75"/>
      <c r="V63" s="75">
        <v>4</v>
      </c>
      <c r="W63" s="75"/>
      <c r="X63" s="73">
        <v>4</v>
      </c>
      <c r="Y63" s="71"/>
      <c r="Z63" s="72"/>
      <c r="AA63" s="72"/>
      <c r="AB63" s="72"/>
      <c r="AC63" s="72"/>
      <c r="AD63" s="72"/>
      <c r="AE63" s="76"/>
    </row>
    <row r="64" spans="1:44" s="4" customFormat="1" ht="21.75" customHeight="1" thickBot="1">
      <c r="A64" s="77"/>
      <c r="B64" s="78"/>
      <c r="C64" s="79"/>
      <c r="D64" s="80"/>
      <c r="E64" s="80"/>
      <c r="F64" s="81">
        <f>SUM(G64:X64)</f>
        <v>0</v>
      </c>
      <c r="G64" s="79"/>
      <c r="H64" s="80"/>
      <c r="I64" s="80"/>
      <c r="J64" s="80"/>
      <c r="K64" s="79"/>
      <c r="L64" s="80"/>
      <c r="M64" s="80"/>
      <c r="N64" s="80"/>
      <c r="O64" s="80"/>
      <c r="P64" s="80"/>
      <c r="Q64" s="79"/>
      <c r="R64" s="79"/>
      <c r="S64" s="80"/>
      <c r="T64" s="80"/>
      <c r="U64" s="80"/>
      <c r="V64" s="80"/>
      <c r="W64" s="80"/>
      <c r="X64" s="81"/>
      <c r="Y64" s="79"/>
      <c r="Z64" s="80"/>
      <c r="AA64" s="80"/>
      <c r="AB64" s="80"/>
      <c r="AC64" s="80"/>
      <c r="AD64" s="80"/>
      <c r="AE64" s="81">
        <v>18</v>
      </c>
      <c r="AM64" s="11"/>
      <c r="AN64" s="11"/>
      <c r="AO64" s="11"/>
      <c r="AP64" s="11"/>
      <c r="AQ64" s="11"/>
      <c r="AR64" s="11"/>
    </row>
    <row r="65" spans="1:44" s="4" customFormat="1" ht="21.75" customHeight="1" thickBot="1">
      <c r="A65" s="161" t="s">
        <v>21</v>
      </c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3"/>
      <c r="AM65" s="11"/>
      <c r="AN65" s="11"/>
      <c r="AO65" s="11"/>
      <c r="AP65" s="11"/>
      <c r="AQ65" s="11"/>
      <c r="AR65" s="11"/>
    </row>
    <row r="66" spans="1:44" s="4" customFormat="1" ht="37.5">
      <c r="A66" s="82">
        <v>17</v>
      </c>
      <c r="B66" s="83" t="s">
        <v>48</v>
      </c>
      <c r="C66" s="64">
        <f>SUM(D66:F68)</f>
        <v>64</v>
      </c>
      <c r="D66" s="65">
        <f>SUM(G66:X66)</f>
        <v>32</v>
      </c>
      <c r="E66" s="65"/>
      <c r="F66" s="66"/>
      <c r="G66" s="67">
        <v>2</v>
      </c>
      <c r="H66" s="67">
        <v>2</v>
      </c>
      <c r="I66" s="67">
        <v>2</v>
      </c>
      <c r="J66" s="67">
        <v>2</v>
      </c>
      <c r="K66" s="67">
        <v>2</v>
      </c>
      <c r="L66" s="67">
        <v>2</v>
      </c>
      <c r="M66" s="67">
        <v>2</v>
      </c>
      <c r="N66" s="67">
        <v>2</v>
      </c>
      <c r="O66" s="67">
        <v>2</v>
      </c>
      <c r="P66" s="67">
        <v>2</v>
      </c>
      <c r="Q66" s="67">
        <v>2</v>
      </c>
      <c r="R66" s="67">
        <v>2</v>
      </c>
      <c r="S66" s="67">
        <v>2</v>
      </c>
      <c r="T66" s="67">
        <v>2</v>
      </c>
      <c r="U66" s="67">
        <v>2</v>
      </c>
      <c r="V66" s="117">
        <v>2</v>
      </c>
      <c r="W66" s="67"/>
      <c r="X66" s="65"/>
      <c r="Y66" s="64"/>
      <c r="Z66" s="65"/>
      <c r="AA66" s="65"/>
      <c r="AB66" s="65"/>
      <c r="AC66" s="65"/>
      <c r="AD66" s="65"/>
      <c r="AE66" s="66" t="s">
        <v>19</v>
      </c>
      <c r="AM66" s="11"/>
      <c r="AN66" s="11"/>
      <c r="AO66" s="11"/>
      <c r="AP66" s="11"/>
      <c r="AQ66" s="11"/>
      <c r="AR66" s="11"/>
    </row>
    <row r="67" spans="1:44" s="4" customFormat="1">
      <c r="A67" s="84"/>
      <c r="B67" s="85"/>
      <c r="C67" s="71"/>
      <c r="D67" s="72"/>
      <c r="E67" s="72">
        <f>SUM(G67:X67)</f>
        <v>32</v>
      </c>
      <c r="F67" s="73"/>
      <c r="G67" s="71">
        <v>2</v>
      </c>
      <c r="H67" s="71">
        <v>2</v>
      </c>
      <c r="I67" s="71">
        <v>2</v>
      </c>
      <c r="J67" s="71">
        <v>2</v>
      </c>
      <c r="K67" s="71">
        <v>2</v>
      </c>
      <c r="L67" s="71">
        <v>2</v>
      </c>
      <c r="M67" s="71">
        <v>2</v>
      </c>
      <c r="N67" s="71">
        <v>2</v>
      </c>
      <c r="O67" s="71">
        <v>2</v>
      </c>
      <c r="P67" s="71">
        <v>2</v>
      </c>
      <c r="Q67" s="71">
        <v>2</v>
      </c>
      <c r="R67" s="71">
        <v>2</v>
      </c>
      <c r="S67" s="71">
        <v>2</v>
      </c>
      <c r="T67" s="71">
        <v>2</v>
      </c>
      <c r="U67" s="71">
        <v>2</v>
      </c>
      <c r="V67" s="73">
        <v>2</v>
      </c>
      <c r="W67" s="71"/>
      <c r="X67" s="72"/>
      <c r="Y67" s="71"/>
      <c r="Z67" s="72"/>
      <c r="AA67" s="72"/>
      <c r="AB67" s="72"/>
      <c r="AC67" s="72"/>
      <c r="AD67" s="72"/>
      <c r="AE67" s="76"/>
      <c r="AM67" s="12"/>
      <c r="AN67" s="96"/>
      <c r="AO67" s="145"/>
      <c r="AP67" s="145"/>
      <c r="AQ67" s="11"/>
      <c r="AR67" s="11"/>
    </row>
    <row r="68" spans="1:44" s="4" customFormat="1" ht="19.5" thickBot="1">
      <c r="A68" s="88"/>
      <c r="B68" s="89"/>
      <c r="C68" s="79"/>
      <c r="D68" s="80"/>
      <c r="E68" s="80"/>
      <c r="F68" s="81">
        <f>SUM(G68:X68)</f>
        <v>0</v>
      </c>
      <c r="G68" s="79"/>
      <c r="H68" s="80"/>
      <c r="I68" s="80"/>
      <c r="J68" s="79"/>
      <c r="K68" s="79"/>
      <c r="L68" s="80"/>
      <c r="M68" s="80"/>
      <c r="N68" s="80"/>
      <c r="O68" s="80"/>
      <c r="P68" s="80"/>
      <c r="Q68" s="79"/>
      <c r="R68" s="79"/>
      <c r="S68" s="80"/>
      <c r="T68" s="80"/>
      <c r="U68" s="80"/>
      <c r="V68" s="81"/>
      <c r="W68" s="79"/>
      <c r="X68" s="87"/>
      <c r="Y68" s="86"/>
      <c r="Z68" s="87"/>
      <c r="AA68" s="87"/>
      <c r="AB68" s="87"/>
      <c r="AC68" s="87"/>
      <c r="AD68" s="87"/>
      <c r="AE68" s="81">
        <v>18</v>
      </c>
      <c r="AM68" s="12"/>
      <c r="AN68" s="96"/>
      <c r="AO68" s="145"/>
      <c r="AP68" s="145"/>
      <c r="AQ68" s="11"/>
      <c r="AR68" s="11"/>
    </row>
    <row r="69" spans="1:44" ht="19.5" thickBot="1">
      <c r="A69" s="161" t="s">
        <v>25</v>
      </c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3"/>
    </row>
    <row r="70" spans="1:44" s="4" customFormat="1" ht="19.5">
      <c r="A70" s="82">
        <v>17</v>
      </c>
      <c r="B70" s="83" t="s">
        <v>43</v>
      </c>
      <c r="C70" s="64">
        <f t="shared" ref="C70" si="24">SUM(D70:F72)</f>
        <v>54</v>
      </c>
      <c r="D70" s="65">
        <f t="shared" ref="D70" si="25">SUM(G70:X70)</f>
        <v>18</v>
      </c>
      <c r="E70" s="65"/>
      <c r="F70" s="66"/>
      <c r="G70" s="67">
        <v>2</v>
      </c>
      <c r="H70" s="68"/>
      <c r="I70" s="68">
        <v>2</v>
      </c>
      <c r="J70" s="67"/>
      <c r="K70" s="64">
        <v>2</v>
      </c>
      <c r="L70" s="65"/>
      <c r="M70" s="65">
        <v>2</v>
      </c>
      <c r="N70" s="65"/>
      <c r="O70" s="65">
        <v>2</v>
      </c>
      <c r="P70" s="65"/>
      <c r="Q70" s="64">
        <v>2</v>
      </c>
      <c r="R70" s="64"/>
      <c r="S70" s="65">
        <v>2</v>
      </c>
      <c r="T70" s="65"/>
      <c r="U70" s="65">
        <v>2</v>
      </c>
      <c r="V70" s="65"/>
      <c r="W70" s="65">
        <v>2</v>
      </c>
      <c r="X70" s="66"/>
      <c r="Y70" s="64"/>
      <c r="Z70" s="65"/>
      <c r="AA70" s="65"/>
      <c r="AB70" s="65"/>
      <c r="AC70" s="65"/>
      <c r="AD70" s="65"/>
      <c r="AE70" s="66" t="s">
        <v>27</v>
      </c>
      <c r="AM70" s="11"/>
      <c r="AN70" s="11"/>
      <c r="AO70" s="11"/>
      <c r="AP70" s="11"/>
      <c r="AQ70" s="11"/>
      <c r="AR70" s="11"/>
    </row>
    <row r="71" spans="1:44" s="4" customFormat="1">
      <c r="A71" s="84"/>
      <c r="B71" s="85"/>
      <c r="C71" s="71"/>
      <c r="D71" s="72"/>
      <c r="E71" s="72">
        <f t="shared" ref="E71" si="26">SUM(G71:X71)</f>
        <v>36</v>
      </c>
      <c r="F71" s="73"/>
      <c r="G71" s="71">
        <v>2</v>
      </c>
      <c r="H71" s="71">
        <v>2</v>
      </c>
      <c r="I71" s="71">
        <v>2</v>
      </c>
      <c r="J71" s="71">
        <v>2</v>
      </c>
      <c r="K71" s="71">
        <v>2</v>
      </c>
      <c r="L71" s="71">
        <v>2</v>
      </c>
      <c r="M71" s="71">
        <v>2</v>
      </c>
      <c r="N71" s="71">
        <v>2</v>
      </c>
      <c r="O71" s="71">
        <v>2</v>
      </c>
      <c r="P71" s="71">
        <v>2</v>
      </c>
      <c r="Q71" s="71">
        <v>2</v>
      </c>
      <c r="R71" s="71">
        <v>2</v>
      </c>
      <c r="S71" s="71">
        <v>2</v>
      </c>
      <c r="T71" s="71">
        <v>2</v>
      </c>
      <c r="U71" s="71">
        <v>2</v>
      </c>
      <c r="V71" s="71">
        <v>2</v>
      </c>
      <c r="W71" s="71">
        <v>2</v>
      </c>
      <c r="X71" s="90">
        <v>2</v>
      </c>
      <c r="Y71" s="91"/>
      <c r="Z71" s="72"/>
      <c r="AA71" s="72"/>
      <c r="AB71" s="72"/>
      <c r="AC71" s="72"/>
      <c r="AD71" s="72"/>
      <c r="AE71" s="76"/>
      <c r="AM71" s="12"/>
      <c r="AN71" s="96"/>
      <c r="AO71" s="145"/>
      <c r="AP71" s="145"/>
      <c r="AQ71" s="11"/>
      <c r="AR71" s="11"/>
    </row>
    <row r="72" spans="1:44" s="4" customFormat="1" ht="19.5" thickBot="1">
      <c r="A72" s="88"/>
      <c r="B72" s="89"/>
      <c r="C72" s="79"/>
      <c r="D72" s="80"/>
      <c r="E72" s="80"/>
      <c r="F72" s="81">
        <f t="shared" ref="F72" si="27">SUM(G72:X72)</f>
        <v>0</v>
      </c>
      <c r="G72" s="79"/>
      <c r="H72" s="80"/>
      <c r="I72" s="80"/>
      <c r="J72" s="79"/>
      <c r="K72" s="79"/>
      <c r="L72" s="80"/>
      <c r="M72" s="80"/>
      <c r="N72" s="80"/>
      <c r="O72" s="80"/>
      <c r="P72" s="80"/>
      <c r="Q72" s="79"/>
      <c r="R72" s="79"/>
      <c r="S72" s="80"/>
      <c r="T72" s="80"/>
      <c r="U72" s="80"/>
      <c r="V72" s="80"/>
      <c r="W72" s="80"/>
      <c r="X72" s="92"/>
      <c r="Y72" s="79"/>
      <c r="Z72" s="80"/>
      <c r="AA72" s="80"/>
      <c r="AB72" s="80"/>
      <c r="AC72" s="80"/>
      <c r="AD72" s="80"/>
      <c r="AE72" s="81">
        <v>27</v>
      </c>
      <c r="AM72" s="12"/>
      <c r="AN72" s="96"/>
      <c r="AO72" s="145"/>
      <c r="AP72" s="145"/>
      <c r="AQ72" s="11"/>
      <c r="AR72" s="11"/>
    </row>
    <row r="73" spans="1:44" ht="19.5" thickBot="1">
      <c r="A73" s="161" t="s">
        <v>51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3"/>
    </row>
    <row r="74" spans="1:44" s="4" customFormat="1" ht="19.5">
      <c r="A74" s="82">
        <v>17</v>
      </c>
      <c r="B74" s="83" t="s">
        <v>43</v>
      </c>
      <c r="C74" s="64">
        <f>SUM(D74:F76)</f>
        <v>54</v>
      </c>
      <c r="D74" s="65">
        <f>SUM(G74:X74)</f>
        <v>18</v>
      </c>
      <c r="E74" s="65"/>
      <c r="F74" s="66"/>
      <c r="G74" s="67">
        <v>2</v>
      </c>
      <c r="H74" s="68"/>
      <c r="I74" s="68">
        <v>2</v>
      </c>
      <c r="J74" s="67"/>
      <c r="K74" s="64">
        <v>2</v>
      </c>
      <c r="L74" s="65"/>
      <c r="M74" s="65">
        <v>2</v>
      </c>
      <c r="N74" s="65"/>
      <c r="O74" s="65">
        <v>2</v>
      </c>
      <c r="P74" s="65"/>
      <c r="Q74" s="64">
        <v>2</v>
      </c>
      <c r="R74" s="64"/>
      <c r="S74" s="65">
        <v>2</v>
      </c>
      <c r="T74" s="65"/>
      <c r="U74" s="65">
        <v>2</v>
      </c>
      <c r="V74" s="65"/>
      <c r="W74" s="65">
        <v>2</v>
      </c>
      <c r="X74" s="66"/>
      <c r="Y74" s="64"/>
      <c r="Z74" s="65"/>
      <c r="AA74" s="65"/>
      <c r="AB74" s="65"/>
      <c r="AC74" s="65"/>
      <c r="AD74" s="65"/>
      <c r="AE74" s="66" t="s">
        <v>15</v>
      </c>
      <c r="AM74" s="11"/>
      <c r="AN74" s="11"/>
      <c r="AO74" s="11"/>
      <c r="AP74" s="11"/>
      <c r="AQ74" s="11"/>
      <c r="AR74" s="11"/>
    </row>
    <row r="75" spans="1:44" s="4" customFormat="1">
      <c r="A75" s="84"/>
      <c r="B75" s="85"/>
      <c r="C75" s="71"/>
      <c r="D75" s="72"/>
      <c r="E75" s="72">
        <f>SUM(G75:X75)</f>
        <v>36</v>
      </c>
      <c r="F75" s="73"/>
      <c r="G75" s="71">
        <v>2</v>
      </c>
      <c r="H75" s="71">
        <v>2</v>
      </c>
      <c r="I75" s="71">
        <v>2</v>
      </c>
      <c r="J75" s="71">
        <v>2</v>
      </c>
      <c r="K75" s="71">
        <v>2</v>
      </c>
      <c r="L75" s="71">
        <v>2</v>
      </c>
      <c r="M75" s="71">
        <v>2</v>
      </c>
      <c r="N75" s="71">
        <v>2</v>
      </c>
      <c r="O75" s="71">
        <v>2</v>
      </c>
      <c r="P75" s="71">
        <v>2</v>
      </c>
      <c r="Q75" s="71">
        <v>2</v>
      </c>
      <c r="R75" s="71">
        <v>2</v>
      </c>
      <c r="S75" s="71">
        <v>2</v>
      </c>
      <c r="T75" s="71">
        <v>2</v>
      </c>
      <c r="U75" s="71">
        <v>2</v>
      </c>
      <c r="V75" s="71">
        <v>2</v>
      </c>
      <c r="W75" s="71">
        <v>2</v>
      </c>
      <c r="X75" s="90">
        <v>2</v>
      </c>
      <c r="Y75" s="91"/>
      <c r="Z75" s="72"/>
      <c r="AA75" s="72"/>
      <c r="AB75" s="72"/>
      <c r="AC75" s="72"/>
      <c r="AD75" s="72"/>
      <c r="AE75" s="76"/>
      <c r="AM75" s="12"/>
      <c r="AN75" s="96"/>
      <c r="AO75" s="145"/>
      <c r="AP75" s="145"/>
      <c r="AQ75" s="11"/>
      <c r="AR75" s="11"/>
    </row>
    <row r="76" spans="1:44" s="4" customFormat="1" ht="19.5" thickBot="1">
      <c r="A76" s="88"/>
      <c r="B76" s="89"/>
      <c r="C76" s="79"/>
      <c r="D76" s="80"/>
      <c r="E76" s="80"/>
      <c r="F76" s="81">
        <f>SUM(G76:X76)</f>
        <v>0</v>
      </c>
      <c r="G76" s="79"/>
      <c r="H76" s="80"/>
      <c r="I76" s="80"/>
      <c r="J76" s="79"/>
      <c r="K76" s="79"/>
      <c r="L76" s="80"/>
      <c r="M76" s="80"/>
      <c r="N76" s="80"/>
      <c r="O76" s="80"/>
      <c r="P76" s="80"/>
      <c r="Q76" s="79"/>
      <c r="R76" s="79"/>
      <c r="S76" s="80"/>
      <c r="T76" s="80"/>
      <c r="U76" s="80"/>
      <c r="V76" s="80"/>
      <c r="W76" s="80"/>
      <c r="X76" s="92"/>
      <c r="Y76" s="86"/>
      <c r="Z76" s="87"/>
      <c r="AA76" s="87"/>
      <c r="AB76" s="87"/>
      <c r="AC76" s="87"/>
      <c r="AD76" s="87"/>
      <c r="AE76" s="81">
        <v>18</v>
      </c>
      <c r="AM76" s="12"/>
      <c r="AN76" s="96"/>
      <c r="AO76" s="145"/>
      <c r="AP76" s="145"/>
      <c r="AQ76" s="11"/>
      <c r="AR76" s="11"/>
    </row>
    <row r="77" spans="1:44" ht="19.5" thickBot="1">
      <c r="A77" s="161" t="s">
        <v>58</v>
      </c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3"/>
    </row>
    <row r="78" spans="1:44" s="4" customFormat="1" ht="37.5">
      <c r="A78" s="82">
        <v>17</v>
      </c>
      <c r="B78" s="83" t="s">
        <v>52</v>
      </c>
      <c r="C78" s="64">
        <f>SUM(D78:F80)</f>
        <v>54</v>
      </c>
      <c r="D78" s="65">
        <f>SUM(G78:X78)</f>
        <v>18</v>
      </c>
      <c r="E78" s="65"/>
      <c r="F78" s="66"/>
      <c r="G78" s="114">
        <v>2</v>
      </c>
      <c r="H78" s="118"/>
      <c r="I78" s="118">
        <v>2</v>
      </c>
      <c r="J78" s="114"/>
      <c r="K78" s="98">
        <v>2</v>
      </c>
      <c r="L78" s="99"/>
      <c r="M78" s="99">
        <v>2</v>
      </c>
      <c r="N78" s="99"/>
      <c r="O78" s="99">
        <v>2</v>
      </c>
      <c r="P78" s="99"/>
      <c r="Q78" s="98">
        <v>2</v>
      </c>
      <c r="R78" s="98"/>
      <c r="S78" s="99">
        <v>2</v>
      </c>
      <c r="T78" s="99"/>
      <c r="U78" s="99">
        <v>2</v>
      </c>
      <c r="V78" s="99"/>
      <c r="W78" s="99">
        <v>2</v>
      </c>
      <c r="X78" s="100"/>
      <c r="Y78" s="98"/>
      <c r="Z78" s="65"/>
      <c r="AA78" s="65"/>
      <c r="AB78" s="65"/>
      <c r="AC78" s="65"/>
      <c r="AD78" s="65"/>
      <c r="AE78" s="66" t="s">
        <v>27</v>
      </c>
      <c r="AM78" s="11"/>
      <c r="AN78" s="11"/>
      <c r="AO78" s="11"/>
      <c r="AP78" s="11"/>
      <c r="AQ78" s="11"/>
      <c r="AR78" s="11"/>
    </row>
    <row r="79" spans="1:44" s="4" customFormat="1">
      <c r="A79" s="84"/>
      <c r="B79" s="85"/>
      <c r="C79" s="71"/>
      <c r="D79" s="72"/>
      <c r="E79" s="72">
        <f>SUM(G79:X79)</f>
        <v>36</v>
      </c>
      <c r="F79" s="73"/>
      <c r="G79" s="71">
        <v>2</v>
      </c>
      <c r="H79" s="71">
        <v>2</v>
      </c>
      <c r="I79" s="71">
        <v>2</v>
      </c>
      <c r="J79" s="71">
        <v>2</v>
      </c>
      <c r="K79" s="71">
        <v>2</v>
      </c>
      <c r="L79" s="71">
        <v>2</v>
      </c>
      <c r="M79" s="71">
        <v>2</v>
      </c>
      <c r="N79" s="71">
        <v>2</v>
      </c>
      <c r="O79" s="71">
        <v>2</v>
      </c>
      <c r="P79" s="71">
        <v>2</v>
      </c>
      <c r="Q79" s="71">
        <v>2</v>
      </c>
      <c r="R79" s="71">
        <v>2</v>
      </c>
      <c r="S79" s="71">
        <v>2</v>
      </c>
      <c r="T79" s="71">
        <v>2</v>
      </c>
      <c r="U79" s="71">
        <v>2</v>
      </c>
      <c r="V79" s="71">
        <v>2</v>
      </c>
      <c r="W79" s="71">
        <v>2</v>
      </c>
      <c r="X79" s="90">
        <v>2</v>
      </c>
      <c r="Y79" s="91"/>
      <c r="Z79" s="72"/>
      <c r="AA79" s="72"/>
      <c r="AB79" s="72"/>
      <c r="AC79" s="72"/>
      <c r="AD79" s="72"/>
      <c r="AE79" s="76"/>
      <c r="AM79" s="12"/>
      <c r="AN79" s="96"/>
      <c r="AO79" s="145"/>
      <c r="AP79" s="145"/>
      <c r="AQ79" s="11"/>
      <c r="AR79" s="11"/>
    </row>
    <row r="80" spans="1:44" s="4" customFormat="1" ht="19.5" thickBot="1">
      <c r="A80" s="88"/>
      <c r="B80" s="89"/>
      <c r="C80" s="79"/>
      <c r="D80" s="80"/>
      <c r="E80" s="80"/>
      <c r="F80" s="81">
        <f>SUM(G80:X80)</f>
        <v>0</v>
      </c>
      <c r="G80" s="79"/>
      <c r="H80" s="80"/>
      <c r="I80" s="80"/>
      <c r="J80" s="79"/>
      <c r="K80" s="79"/>
      <c r="L80" s="80"/>
      <c r="M80" s="80"/>
      <c r="N80" s="80"/>
      <c r="O80" s="80"/>
      <c r="P80" s="80"/>
      <c r="Q80" s="79"/>
      <c r="R80" s="79"/>
      <c r="S80" s="80"/>
      <c r="T80" s="80"/>
      <c r="U80" s="80"/>
      <c r="V80" s="80"/>
      <c r="W80" s="80"/>
      <c r="X80" s="92"/>
      <c r="Y80" s="86"/>
      <c r="Z80" s="87"/>
      <c r="AA80" s="87"/>
      <c r="AB80" s="87"/>
      <c r="AC80" s="87"/>
      <c r="AD80" s="87"/>
      <c r="AE80" s="81">
        <v>36</v>
      </c>
      <c r="AM80" s="12"/>
      <c r="AN80" s="96"/>
      <c r="AO80" s="145"/>
      <c r="AP80" s="145"/>
      <c r="AQ80" s="11"/>
      <c r="AR80" s="11"/>
    </row>
    <row r="81" spans="1:44" s="4" customFormat="1" ht="56.25">
      <c r="A81" s="82">
        <v>17</v>
      </c>
      <c r="B81" s="83" t="s">
        <v>53</v>
      </c>
      <c r="C81" s="64">
        <f>SUM(D81:F83)</f>
        <v>54</v>
      </c>
      <c r="D81" s="65">
        <f>SUM(G81:X81)</f>
        <v>18</v>
      </c>
      <c r="E81" s="65"/>
      <c r="F81" s="66"/>
      <c r="G81" s="67">
        <v>2</v>
      </c>
      <c r="H81" s="68"/>
      <c r="I81" s="68">
        <v>2</v>
      </c>
      <c r="J81" s="67"/>
      <c r="K81" s="64">
        <v>2</v>
      </c>
      <c r="L81" s="65"/>
      <c r="M81" s="65">
        <v>2</v>
      </c>
      <c r="N81" s="65"/>
      <c r="O81" s="65">
        <v>2</v>
      </c>
      <c r="P81" s="65"/>
      <c r="Q81" s="64">
        <v>2</v>
      </c>
      <c r="R81" s="64"/>
      <c r="S81" s="65">
        <v>2</v>
      </c>
      <c r="T81" s="65"/>
      <c r="U81" s="65">
        <v>2</v>
      </c>
      <c r="V81" s="65"/>
      <c r="W81" s="65">
        <v>2</v>
      </c>
      <c r="X81" s="66"/>
      <c r="Y81" s="64"/>
      <c r="Z81" s="65"/>
      <c r="AA81" s="65"/>
      <c r="AB81" s="65"/>
      <c r="AC81" s="65"/>
      <c r="AD81" s="65"/>
      <c r="AE81" s="66" t="s">
        <v>19</v>
      </c>
      <c r="AM81" s="11"/>
      <c r="AN81" s="11"/>
      <c r="AO81" s="11"/>
      <c r="AP81" s="11"/>
      <c r="AQ81" s="11"/>
      <c r="AR81" s="11"/>
    </row>
    <row r="82" spans="1:44" s="4" customFormat="1">
      <c r="A82" s="84"/>
      <c r="B82" s="85"/>
      <c r="C82" s="71"/>
      <c r="D82" s="72"/>
      <c r="E82" s="72">
        <f>SUM(G82:X82)</f>
        <v>36</v>
      </c>
      <c r="F82" s="73"/>
      <c r="G82" s="71"/>
      <c r="H82" s="71">
        <v>4</v>
      </c>
      <c r="I82" s="71"/>
      <c r="J82" s="71">
        <v>4</v>
      </c>
      <c r="K82" s="71"/>
      <c r="L82" s="71">
        <v>4</v>
      </c>
      <c r="M82" s="71"/>
      <c r="N82" s="71">
        <v>4</v>
      </c>
      <c r="O82" s="71"/>
      <c r="P82" s="71">
        <v>4</v>
      </c>
      <c r="Q82" s="71"/>
      <c r="R82" s="71">
        <v>4</v>
      </c>
      <c r="S82" s="71"/>
      <c r="T82" s="71">
        <v>4</v>
      </c>
      <c r="U82" s="71"/>
      <c r="V82" s="71">
        <v>4</v>
      </c>
      <c r="W82" s="71"/>
      <c r="X82" s="90">
        <v>4</v>
      </c>
      <c r="Y82" s="91"/>
      <c r="Z82" s="72"/>
      <c r="AA82" s="72"/>
      <c r="AB82" s="72"/>
      <c r="AC82" s="72"/>
      <c r="AD82" s="72"/>
      <c r="AE82" s="76"/>
      <c r="AM82" s="12"/>
      <c r="AN82" s="96"/>
      <c r="AO82" s="145"/>
      <c r="AP82" s="145"/>
      <c r="AQ82" s="11"/>
      <c r="AR82" s="11"/>
    </row>
    <row r="83" spans="1:44" s="4" customFormat="1" ht="19.5" thickBot="1">
      <c r="A83" s="88"/>
      <c r="B83" s="89"/>
      <c r="C83" s="79"/>
      <c r="D83" s="80"/>
      <c r="E83" s="80"/>
      <c r="F83" s="81">
        <f>SUM(G83:X83)</f>
        <v>0</v>
      </c>
      <c r="G83" s="79"/>
      <c r="H83" s="80"/>
      <c r="I83" s="80"/>
      <c r="J83" s="79"/>
      <c r="K83" s="79"/>
      <c r="L83" s="80"/>
      <c r="M83" s="80"/>
      <c r="N83" s="80"/>
      <c r="O83" s="80"/>
      <c r="P83" s="80"/>
      <c r="Q83" s="79"/>
      <c r="R83" s="79"/>
      <c r="S83" s="80"/>
      <c r="T83" s="80"/>
      <c r="U83" s="80"/>
      <c r="V83" s="80"/>
      <c r="W83" s="80"/>
      <c r="X83" s="92"/>
      <c r="Y83" s="86"/>
      <c r="Z83" s="87"/>
      <c r="AA83" s="87"/>
      <c r="AB83" s="87"/>
      <c r="AC83" s="87"/>
      <c r="AD83" s="87"/>
      <c r="AE83" s="81">
        <v>18</v>
      </c>
      <c r="AM83" s="12"/>
      <c r="AN83" s="96"/>
      <c r="AO83" s="145"/>
      <c r="AP83" s="145"/>
      <c r="AQ83" s="11"/>
      <c r="AR83" s="11"/>
    </row>
    <row r="84" spans="1:44" s="4" customFormat="1" ht="56.25">
      <c r="A84" s="82">
        <v>17</v>
      </c>
      <c r="B84" s="83" t="s">
        <v>54</v>
      </c>
      <c r="C84" s="64">
        <f>SUM(D84:F86)</f>
        <v>54</v>
      </c>
      <c r="D84" s="65">
        <f>SUM(G84:X84)</f>
        <v>18</v>
      </c>
      <c r="E84" s="65"/>
      <c r="F84" s="66"/>
      <c r="G84" s="67">
        <v>2</v>
      </c>
      <c r="H84" s="68"/>
      <c r="I84" s="68">
        <v>2</v>
      </c>
      <c r="J84" s="67"/>
      <c r="K84" s="64">
        <v>2</v>
      </c>
      <c r="L84" s="65"/>
      <c r="M84" s="65">
        <v>2</v>
      </c>
      <c r="N84" s="65"/>
      <c r="O84" s="65">
        <v>2</v>
      </c>
      <c r="P84" s="65"/>
      <c r="Q84" s="64">
        <v>2</v>
      </c>
      <c r="R84" s="64"/>
      <c r="S84" s="65">
        <v>2</v>
      </c>
      <c r="T84" s="65"/>
      <c r="U84" s="65">
        <v>2</v>
      </c>
      <c r="V84" s="65"/>
      <c r="W84" s="65">
        <v>2</v>
      </c>
      <c r="X84" s="66"/>
      <c r="Y84" s="64"/>
      <c r="Z84" s="65"/>
      <c r="AA84" s="65"/>
      <c r="AB84" s="65"/>
      <c r="AC84" s="65"/>
      <c r="AD84" s="65"/>
      <c r="AE84" s="66" t="s">
        <v>19</v>
      </c>
      <c r="AM84" s="11"/>
      <c r="AN84" s="11"/>
      <c r="AO84" s="11"/>
      <c r="AP84" s="11"/>
      <c r="AQ84" s="11"/>
      <c r="AR84" s="11"/>
    </row>
    <row r="85" spans="1:44" s="4" customFormat="1">
      <c r="A85" s="84"/>
      <c r="B85" s="85"/>
      <c r="C85" s="71"/>
      <c r="D85" s="72"/>
      <c r="E85" s="72">
        <f>SUM(G85:X85)</f>
        <v>36</v>
      </c>
      <c r="F85" s="73"/>
      <c r="G85" s="71">
        <v>2</v>
      </c>
      <c r="H85" s="71">
        <v>2</v>
      </c>
      <c r="I85" s="71">
        <v>2</v>
      </c>
      <c r="J85" s="71">
        <v>2</v>
      </c>
      <c r="K85" s="71">
        <v>2</v>
      </c>
      <c r="L85" s="71">
        <v>2</v>
      </c>
      <c r="M85" s="71">
        <v>2</v>
      </c>
      <c r="N85" s="71">
        <v>2</v>
      </c>
      <c r="O85" s="71">
        <v>2</v>
      </c>
      <c r="P85" s="71">
        <v>2</v>
      </c>
      <c r="Q85" s="71">
        <v>2</v>
      </c>
      <c r="R85" s="71">
        <v>2</v>
      </c>
      <c r="S85" s="71">
        <v>2</v>
      </c>
      <c r="T85" s="71">
        <v>2</v>
      </c>
      <c r="U85" s="71">
        <v>2</v>
      </c>
      <c r="V85" s="71">
        <v>2</v>
      </c>
      <c r="W85" s="71">
        <v>2</v>
      </c>
      <c r="X85" s="90">
        <v>2</v>
      </c>
      <c r="Y85" s="91"/>
      <c r="Z85" s="72"/>
      <c r="AA85" s="72"/>
      <c r="AB85" s="72"/>
      <c r="AC85" s="72"/>
      <c r="AD85" s="72"/>
      <c r="AE85" s="76"/>
      <c r="AM85" s="12"/>
      <c r="AN85" s="96"/>
      <c r="AO85" s="145"/>
      <c r="AP85" s="145"/>
      <c r="AQ85" s="11"/>
      <c r="AR85" s="11"/>
    </row>
    <row r="86" spans="1:44" s="4" customFormat="1" ht="19.5" thickBot="1">
      <c r="A86" s="88"/>
      <c r="B86" s="89"/>
      <c r="C86" s="79"/>
      <c r="D86" s="80"/>
      <c r="E86" s="80"/>
      <c r="F86" s="81">
        <f>SUM(G86:X86)</f>
        <v>0</v>
      </c>
      <c r="G86" s="79"/>
      <c r="H86" s="80"/>
      <c r="I86" s="80"/>
      <c r="J86" s="79"/>
      <c r="K86" s="79"/>
      <c r="L86" s="80"/>
      <c r="M86" s="80"/>
      <c r="N86" s="80"/>
      <c r="O86" s="80"/>
      <c r="P86" s="80"/>
      <c r="Q86" s="79"/>
      <c r="R86" s="79"/>
      <c r="S86" s="80"/>
      <c r="T86" s="80"/>
      <c r="U86" s="80"/>
      <c r="V86" s="80"/>
      <c r="W86" s="80"/>
      <c r="X86" s="92"/>
      <c r="Y86" s="86"/>
      <c r="Z86" s="87"/>
      <c r="AA86" s="87"/>
      <c r="AB86" s="87"/>
      <c r="AC86" s="87"/>
      <c r="AD86" s="87"/>
      <c r="AE86" s="81">
        <v>9</v>
      </c>
      <c r="AM86" s="12"/>
      <c r="AN86" s="96"/>
      <c r="AO86" s="145"/>
      <c r="AP86" s="145"/>
      <c r="AQ86" s="11"/>
      <c r="AR86" s="11"/>
    </row>
    <row r="87" spans="1:44" s="4" customFormat="1" ht="37.5">
      <c r="A87" s="82">
        <v>17</v>
      </c>
      <c r="B87" s="83" t="s">
        <v>48</v>
      </c>
      <c r="C87" s="64">
        <f t="shared" ref="C87" si="28">SUM(D87:F89)</f>
        <v>90</v>
      </c>
      <c r="D87" s="65">
        <f t="shared" ref="D87" si="29">SUM(G87:X87)</f>
        <v>36</v>
      </c>
      <c r="E87" s="65"/>
      <c r="F87" s="66"/>
      <c r="G87" s="67">
        <v>2</v>
      </c>
      <c r="H87" s="67">
        <v>2</v>
      </c>
      <c r="I87" s="67">
        <v>2</v>
      </c>
      <c r="J87" s="67">
        <v>2</v>
      </c>
      <c r="K87" s="67">
        <v>2</v>
      </c>
      <c r="L87" s="67">
        <v>2</v>
      </c>
      <c r="M87" s="67">
        <v>2</v>
      </c>
      <c r="N87" s="67">
        <v>2</v>
      </c>
      <c r="O87" s="67">
        <v>2</v>
      </c>
      <c r="P87" s="67">
        <v>2</v>
      </c>
      <c r="Q87" s="67">
        <v>2</v>
      </c>
      <c r="R87" s="67">
        <v>2</v>
      </c>
      <c r="S87" s="67">
        <v>2</v>
      </c>
      <c r="T87" s="67">
        <v>2</v>
      </c>
      <c r="U87" s="67">
        <v>2</v>
      </c>
      <c r="V87" s="67">
        <v>2</v>
      </c>
      <c r="W87" s="67">
        <v>2</v>
      </c>
      <c r="X87" s="66">
        <v>2</v>
      </c>
      <c r="Y87" s="64"/>
      <c r="Z87" s="65"/>
      <c r="AA87" s="65"/>
      <c r="AB87" s="65"/>
      <c r="AC87" s="65"/>
      <c r="AD87" s="65"/>
      <c r="AE87" s="66" t="s">
        <v>27</v>
      </c>
      <c r="AM87" s="11"/>
      <c r="AN87" s="11"/>
      <c r="AO87" s="11"/>
      <c r="AP87" s="11"/>
      <c r="AQ87" s="11"/>
      <c r="AR87" s="11"/>
    </row>
    <row r="88" spans="1:44" s="4" customFormat="1">
      <c r="A88" s="84"/>
      <c r="B88" s="85"/>
      <c r="C88" s="71"/>
      <c r="D88" s="72"/>
      <c r="E88" s="72">
        <f t="shared" ref="E88" si="30">SUM(G88:X88)</f>
        <v>54</v>
      </c>
      <c r="F88" s="73"/>
      <c r="G88" s="71">
        <v>2</v>
      </c>
      <c r="H88" s="71">
        <v>4</v>
      </c>
      <c r="I88" s="71">
        <v>2</v>
      </c>
      <c r="J88" s="71">
        <v>4</v>
      </c>
      <c r="K88" s="71">
        <v>2</v>
      </c>
      <c r="L88" s="71">
        <v>4</v>
      </c>
      <c r="M88" s="71">
        <v>2</v>
      </c>
      <c r="N88" s="71">
        <v>4</v>
      </c>
      <c r="O88" s="71">
        <v>2</v>
      </c>
      <c r="P88" s="71">
        <v>4</v>
      </c>
      <c r="Q88" s="71">
        <v>2</v>
      </c>
      <c r="R88" s="71">
        <v>4</v>
      </c>
      <c r="S88" s="71">
        <v>2</v>
      </c>
      <c r="T88" s="71">
        <v>4</v>
      </c>
      <c r="U88" s="71">
        <v>2</v>
      </c>
      <c r="V88" s="71">
        <v>4</v>
      </c>
      <c r="W88" s="71">
        <v>2</v>
      </c>
      <c r="X88" s="90">
        <v>4</v>
      </c>
      <c r="Y88" s="91"/>
      <c r="Z88" s="72"/>
      <c r="AA88" s="72"/>
      <c r="AB88" s="72"/>
      <c r="AC88" s="72"/>
      <c r="AD88" s="72"/>
      <c r="AE88" s="76" t="s">
        <v>55</v>
      </c>
      <c r="AM88" s="12"/>
      <c r="AN88" s="96"/>
      <c r="AO88" s="145"/>
      <c r="AP88" s="145"/>
      <c r="AQ88" s="11"/>
      <c r="AR88" s="11"/>
    </row>
    <row r="89" spans="1:44" s="4" customFormat="1" ht="19.5" thickBot="1">
      <c r="A89" s="88"/>
      <c r="B89" s="89"/>
      <c r="C89" s="79"/>
      <c r="D89" s="80"/>
      <c r="E89" s="80"/>
      <c r="F89" s="81">
        <f t="shared" ref="F89" si="31">SUM(G89:X89)</f>
        <v>0</v>
      </c>
      <c r="G89" s="79"/>
      <c r="H89" s="80"/>
      <c r="I89" s="80"/>
      <c r="J89" s="79"/>
      <c r="K89" s="79"/>
      <c r="L89" s="80"/>
      <c r="M89" s="80"/>
      <c r="N89" s="80"/>
      <c r="O89" s="80"/>
      <c r="P89" s="80"/>
      <c r="Q89" s="79"/>
      <c r="R89" s="79"/>
      <c r="S89" s="80"/>
      <c r="T89" s="80"/>
      <c r="U89" s="80"/>
      <c r="V89" s="80"/>
      <c r="W89" s="80"/>
      <c r="X89" s="92"/>
      <c r="Y89" s="86"/>
      <c r="Z89" s="87"/>
      <c r="AA89" s="87"/>
      <c r="AB89" s="87"/>
      <c r="AC89" s="87"/>
      <c r="AD89" s="87"/>
      <c r="AE89" s="81">
        <v>27</v>
      </c>
      <c r="AM89" s="12"/>
      <c r="AN89" s="96"/>
      <c r="AO89" s="145"/>
      <c r="AP89" s="145"/>
      <c r="AQ89" s="11"/>
      <c r="AR89" s="11"/>
    </row>
    <row r="90" spans="1:44" s="4" customFormat="1" ht="56.25">
      <c r="A90" s="82">
        <v>17</v>
      </c>
      <c r="B90" s="83" t="s">
        <v>56</v>
      </c>
      <c r="C90" s="64">
        <f t="shared" ref="C90" si="32">SUM(D90:F92)</f>
        <v>18</v>
      </c>
      <c r="D90" s="65">
        <f t="shared" ref="D90" si="33">SUM(G90:X90)</f>
        <v>0</v>
      </c>
      <c r="E90" s="65"/>
      <c r="F90" s="66"/>
      <c r="G90" s="67"/>
      <c r="H90" s="68"/>
      <c r="I90" s="68"/>
      <c r="J90" s="67"/>
      <c r="K90" s="64"/>
      <c r="L90" s="65"/>
      <c r="M90" s="65"/>
      <c r="N90" s="65"/>
      <c r="O90" s="65"/>
      <c r="P90" s="65"/>
      <c r="Q90" s="64"/>
      <c r="R90" s="64"/>
      <c r="S90" s="65"/>
      <c r="T90" s="65"/>
      <c r="U90" s="65"/>
      <c r="V90" s="65"/>
      <c r="W90" s="65"/>
      <c r="X90" s="66"/>
      <c r="Y90" s="64"/>
      <c r="Z90" s="65"/>
      <c r="AA90" s="65"/>
      <c r="AB90" s="65"/>
      <c r="AC90" s="65"/>
      <c r="AD90" s="65"/>
      <c r="AE90" s="66" t="s">
        <v>15</v>
      </c>
      <c r="AM90" s="11"/>
      <c r="AN90" s="11"/>
      <c r="AO90" s="11"/>
      <c r="AP90" s="11"/>
      <c r="AQ90" s="11"/>
      <c r="AR90" s="11"/>
    </row>
    <row r="91" spans="1:44" s="4" customFormat="1" ht="19.5">
      <c r="A91" s="84"/>
      <c r="B91" s="119" t="s">
        <v>57</v>
      </c>
      <c r="C91" s="71"/>
      <c r="D91" s="72"/>
      <c r="E91" s="72">
        <f t="shared" ref="E91" si="34">SUM(G91:X91)</f>
        <v>18</v>
      </c>
      <c r="F91" s="73"/>
      <c r="G91" s="71">
        <v>2</v>
      </c>
      <c r="H91" s="72"/>
      <c r="I91" s="72">
        <v>2</v>
      </c>
      <c r="J91" s="71"/>
      <c r="K91" s="74">
        <v>2</v>
      </c>
      <c r="L91" s="75"/>
      <c r="M91" s="75">
        <v>2</v>
      </c>
      <c r="N91" s="75"/>
      <c r="O91" s="75">
        <v>2</v>
      </c>
      <c r="P91" s="75"/>
      <c r="Q91" s="71">
        <v>2</v>
      </c>
      <c r="R91" s="71"/>
      <c r="S91" s="72">
        <v>2</v>
      </c>
      <c r="T91" s="72"/>
      <c r="U91" s="72">
        <v>2</v>
      </c>
      <c r="V91" s="72"/>
      <c r="W91" s="72">
        <v>2</v>
      </c>
      <c r="X91" s="73"/>
      <c r="Y91" s="71"/>
      <c r="Z91" s="72"/>
      <c r="AA91" s="72"/>
      <c r="AB91" s="72"/>
      <c r="AC91" s="72"/>
      <c r="AD91" s="72"/>
      <c r="AE91" s="76"/>
      <c r="AM91" s="12"/>
      <c r="AN91" s="96"/>
      <c r="AO91" s="145"/>
      <c r="AP91" s="145"/>
      <c r="AQ91" s="11"/>
      <c r="AR91" s="11"/>
    </row>
    <row r="92" spans="1:44" s="4" customFormat="1" ht="19.5" thickBot="1">
      <c r="A92" s="88"/>
      <c r="B92" s="89"/>
      <c r="C92" s="79"/>
      <c r="D92" s="80"/>
      <c r="E92" s="80"/>
      <c r="F92" s="81">
        <f t="shared" ref="F92" si="35">SUM(G92:X92)</f>
        <v>0</v>
      </c>
      <c r="G92" s="79"/>
      <c r="H92" s="80"/>
      <c r="I92" s="80"/>
      <c r="J92" s="79"/>
      <c r="K92" s="79"/>
      <c r="L92" s="80"/>
      <c r="M92" s="80"/>
      <c r="N92" s="80"/>
      <c r="O92" s="80"/>
      <c r="P92" s="80"/>
      <c r="Q92" s="86"/>
      <c r="R92" s="86"/>
      <c r="S92" s="87"/>
      <c r="T92" s="87"/>
      <c r="U92" s="87"/>
      <c r="V92" s="87"/>
      <c r="W92" s="87"/>
      <c r="X92" s="92"/>
      <c r="Y92" s="86"/>
      <c r="Z92" s="87"/>
      <c r="AA92" s="87"/>
      <c r="AB92" s="87"/>
      <c r="AC92" s="87"/>
      <c r="AD92" s="87"/>
      <c r="AE92" s="81">
        <v>9</v>
      </c>
      <c r="AM92" s="12"/>
      <c r="AN92" s="96"/>
      <c r="AO92" s="145"/>
      <c r="AP92" s="145"/>
      <c r="AQ92" s="11"/>
      <c r="AR92" s="11"/>
    </row>
    <row r="93" spans="1:44" ht="19.5" thickBot="1">
      <c r="A93" s="161" t="s">
        <v>60</v>
      </c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3"/>
    </row>
    <row r="94" spans="1:44" ht="19.5">
      <c r="A94" s="82">
        <v>17</v>
      </c>
      <c r="B94" s="83" t="s">
        <v>59</v>
      </c>
      <c r="C94" s="64">
        <f t="shared" ref="C94" si="36">SUM(D94:F96)</f>
        <v>54</v>
      </c>
      <c r="D94" s="65">
        <f t="shared" ref="D94" si="37">SUM(G94:AD94)</f>
        <v>18</v>
      </c>
      <c r="E94" s="65"/>
      <c r="F94" s="66"/>
      <c r="G94" s="67">
        <v>2</v>
      </c>
      <c r="H94" s="68"/>
      <c r="I94" s="68">
        <v>2</v>
      </c>
      <c r="J94" s="67"/>
      <c r="K94" s="64">
        <v>2</v>
      </c>
      <c r="L94" s="65"/>
      <c r="M94" s="65">
        <v>2</v>
      </c>
      <c r="N94" s="65"/>
      <c r="O94" s="65">
        <v>2</v>
      </c>
      <c r="P94" s="65"/>
      <c r="Q94" s="64">
        <v>2</v>
      </c>
      <c r="R94" s="64"/>
      <c r="S94" s="65">
        <v>2</v>
      </c>
      <c r="T94" s="65"/>
      <c r="U94" s="65">
        <v>2</v>
      </c>
      <c r="V94" s="65"/>
      <c r="W94" s="65">
        <v>2</v>
      </c>
      <c r="X94" s="66"/>
      <c r="Y94" s="64"/>
      <c r="Z94" s="65"/>
      <c r="AA94" s="65"/>
      <c r="AB94" s="65"/>
      <c r="AC94" s="65"/>
      <c r="AD94" s="65"/>
      <c r="AE94" s="66" t="s">
        <v>27</v>
      </c>
    </row>
    <row r="95" spans="1:44">
      <c r="A95" s="84"/>
      <c r="B95" s="85"/>
      <c r="C95" s="71"/>
      <c r="D95" s="72"/>
      <c r="E95" s="72">
        <f t="shared" ref="E95" si="38">SUM(G95:AD95)</f>
        <v>36</v>
      </c>
      <c r="F95" s="73"/>
      <c r="G95" s="103"/>
      <c r="H95" s="103">
        <v>4</v>
      </c>
      <c r="I95" s="103"/>
      <c r="J95" s="72">
        <v>4</v>
      </c>
      <c r="K95" s="103"/>
      <c r="L95" s="103">
        <v>4</v>
      </c>
      <c r="M95" s="103"/>
      <c r="N95" s="103">
        <v>4</v>
      </c>
      <c r="O95" s="103"/>
      <c r="P95" s="103">
        <v>4</v>
      </c>
      <c r="Q95" s="103"/>
      <c r="R95" s="103">
        <v>4</v>
      </c>
      <c r="S95" s="103"/>
      <c r="T95" s="103">
        <v>4</v>
      </c>
      <c r="U95" s="103"/>
      <c r="V95" s="103">
        <v>4</v>
      </c>
      <c r="W95" s="103"/>
      <c r="X95" s="104">
        <v>4</v>
      </c>
      <c r="Y95" s="71"/>
      <c r="Z95" s="72"/>
      <c r="AA95" s="72"/>
      <c r="AB95" s="72"/>
      <c r="AC95" s="72"/>
      <c r="AD95" s="72"/>
      <c r="AE95" s="76"/>
    </row>
    <row r="96" spans="1:44" ht="19.5" thickBot="1">
      <c r="A96" s="84"/>
      <c r="B96" s="89"/>
      <c r="C96" s="79"/>
      <c r="D96" s="80"/>
      <c r="E96" s="80"/>
      <c r="F96" s="81">
        <f t="shared" ref="F96" si="39">SUM(G96:AD96)</f>
        <v>0</v>
      </c>
      <c r="G96" s="86"/>
      <c r="H96" s="87"/>
      <c r="I96" s="86"/>
      <c r="J96" s="79"/>
      <c r="K96" s="86"/>
      <c r="L96" s="87"/>
      <c r="M96" s="87"/>
      <c r="N96" s="87"/>
      <c r="O96" s="87"/>
      <c r="P96" s="87"/>
      <c r="Q96" s="86"/>
      <c r="R96" s="86"/>
      <c r="S96" s="87"/>
      <c r="T96" s="87"/>
      <c r="U96" s="87"/>
      <c r="V96" s="87"/>
      <c r="W96" s="87"/>
      <c r="X96" s="92"/>
      <c r="Y96" s="86"/>
      <c r="Z96" s="87"/>
      <c r="AA96" s="87"/>
      <c r="AB96" s="87"/>
      <c r="AC96" s="87"/>
      <c r="AD96" s="87"/>
      <c r="AE96" s="81">
        <v>36</v>
      </c>
    </row>
    <row r="97" spans="1:44" ht="19.5" thickBot="1">
      <c r="A97" s="165" t="s">
        <v>24</v>
      </c>
      <c r="B97" s="165"/>
      <c r="C97" s="165"/>
      <c r="D97" s="165"/>
      <c r="E97" s="165"/>
      <c r="F97" s="165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</row>
    <row r="98" spans="1:44" ht="19.5" thickBot="1">
      <c r="A98" s="164" t="s">
        <v>91</v>
      </c>
      <c r="B98" s="164"/>
      <c r="C98" s="164"/>
      <c r="D98" s="164"/>
      <c r="E98" s="164"/>
      <c r="F98" s="164"/>
      <c r="G98" s="164"/>
      <c r="H98" s="164"/>
      <c r="I98" s="164"/>
      <c r="J98" s="164"/>
      <c r="K98" s="150"/>
      <c r="L98" s="150"/>
      <c r="M98" s="150"/>
      <c r="N98" s="150"/>
      <c r="O98" s="150"/>
      <c r="P98" s="150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B98" s="164"/>
      <c r="AC98" s="164"/>
      <c r="AD98" s="164"/>
      <c r="AE98" s="164"/>
    </row>
    <row r="99" spans="1:44" ht="19.5">
      <c r="A99" s="82">
        <v>17</v>
      </c>
      <c r="B99" s="83" t="s">
        <v>43</v>
      </c>
      <c r="C99" s="64">
        <f t="shared" ref="C99" si="40">SUM(D99:F101)</f>
        <v>54</v>
      </c>
      <c r="D99" s="65">
        <f t="shared" ref="D99" si="41">SUM(G99:X99)</f>
        <v>18</v>
      </c>
      <c r="E99" s="65"/>
      <c r="F99" s="66"/>
      <c r="G99" s="64">
        <v>2</v>
      </c>
      <c r="H99" s="65"/>
      <c r="I99" s="65">
        <v>2</v>
      </c>
      <c r="J99" s="64"/>
      <c r="K99" s="64">
        <v>2</v>
      </c>
      <c r="L99" s="65"/>
      <c r="M99" s="65">
        <v>2</v>
      </c>
      <c r="N99" s="65"/>
      <c r="O99" s="65">
        <v>2</v>
      </c>
      <c r="P99" s="65"/>
      <c r="Q99" s="64">
        <v>2</v>
      </c>
      <c r="R99" s="64"/>
      <c r="S99" s="65">
        <v>2</v>
      </c>
      <c r="T99" s="65"/>
      <c r="U99" s="65">
        <v>2</v>
      </c>
      <c r="V99" s="65"/>
      <c r="W99" s="65">
        <v>2</v>
      </c>
      <c r="X99" s="65"/>
      <c r="Y99" s="65"/>
      <c r="Z99" s="65"/>
      <c r="AA99" s="65"/>
      <c r="AB99" s="65"/>
      <c r="AC99" s="65"/>
      <c r="AD99" s="65"/>
      <c r="AE99" s="66" t="s">
        <v>27</v>
      </c>
    </row>
    <row r="100" spans="1:44">
      <c r="A100" s="84"/>
      <c r="B100" s="85"/>
      <c r="C100" s="71"/>
      <c r="D100" s="72"/>
      <c r="E100" s="72">
        <f t="shared" ref="E100" si="42">SUM(G100:X100)</f>
        <v>36</v>
      </c>
      <c r="F100" s="73"/>
      <c r="G100" s="103">
        <v>2</v>
      </c>
      <c r="H100" s="103">
        <v>2</v>
      </c>
      <c r="I100" s="103">
        <v>2</v>
      </c>
      <c r="J100" s="103">
        <v>2</v>
      </c>
      <c r="K100" s="103">
        <v>2</v>
      </c>
      <c r="L100" s="103">
        <v>2</v>
      </c>
      <c r="M100" s="103">
        <v>2</v>
      </c>
      <c r="N100" s="103">
        <v>2</v>
      </c>
      <c r="O100" s="103">
        <v>2</v>
      </c>
      <c r="P100" s="103">
        <v>2</v>
      </c>
      <c r="Q100" s="103">
        <v>2</v>
      </c>
      <c r="R100" s="103">
        <v>2</v>
      </c>
      <c r="S100" s="103">
        <v>2</v>
      </c>
      <c r="T100" s="103">
        <v>2</v>
      </c>
      <c r="U100" s="103">
        <v>2</v>
      </c>
      <c r="V100" s="103">
        <v>2</v>
      </c>
      <c r="W100" s="103">
        <v>2</v>
      </c>
      <c r="X100" s="103">
        <v>2</v>
      </c>
      <c r="Y100" s="72"/>
      <c r="Z100" s="72"/>
      <c r="AA100" s="72"/>
      <c r="AB100" s="72"/>
      <c r="AC100" s="72"/>
      <c r="AD100" s="72"/>
      <c r="AE100" s="76"/>
    </row>
    <row r="101" spans="1:44" ht="19.5" thickBot="1">
      <c r="A101" s="88"/>
      <c r="B101" s="89"/>
      <c r="C101" s="79"/>
      <c r="D101" s="80"/>
      <c r="E101" s="80"/>
      <c r="F101" s="81">
        <f t="shared" ref="F101" si="43">SUM(G101:X101)</f>
        <v>0</v>
      </c>
      <c r="G101" s="86"/>
      <c r="H101" s="87"/>
      <c r="I101" s="86"/>
      <c r="J101" s="79"/>
      <c r="K101" s="86"/>
      <c r="L101" s="87"/>
      <c r="M101" s="87"/>
      <c r="N101" s="87"/>
      <c r="O101" s="87"/>
      <c r="P101" s="87"/>
      <c r="Q101" s="86"/>
      <c r="R101" s="86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1">
        <v>36</v>
      </c>
    </row>
    <row r="102" spans="1:44" ht="19.5" thickBot="1">
      <c r="A102" s="161" t="s">
        <v>29</v>
      </c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3"/>
    </row>
    <row r="103" spans="1:44" s="4" customFormat="1" ht="37.5">
      <c r="A103" s="62">
        <v>17</v>
      </c>
      <c r="B103" s="63" t="s">
        <v>61</v>
      </c>
      <c r="C103" s="64">
        <f>SUM(D103:F105)</f>
        <v>72</v>
      </c>
      <c r="D103" s="65">
        <f>SUM(G103:X103)</f>
        <v>36</v>
      </c>
      <c r="E103" s="65"/>
      <c r="F103" s="66"/>
      <c r="G103" s="64">
        <v>2</v>
      </c>
      <c r="H103" s="64">
        <v>2</v>
      </c>
      <c r="I103" s="64">
        <v>2</v>
      </c>
      <c r="J103" s="64">
        <v>2</v>
      </c>
      <c r="K103" s="64">
        <v>2</v>
      </c>
      <c r="L103" s="64">
        <v>2</v>
      </c>
      <c r="M103" s="64">
        <v>2</v>
      </c>
      <c r="N103" s="64">
        <v>2</v>
      </c>
      <c r="O103" s="64">
        <v>2</v>
      </c>
      <c r="P103" s="64">
        <v>2</v>
      </c>
      <c r="Q103" s="64">
        <v>2</v>
      </c>
      <c r="R103" s="64">
        <v>2</v>
      </c>
      <c r="S103" s="64">
        <v>2</v>
      </c>
      <c r="T103" s="64">
        <v>2</v>
      </c>
      <c r="U103" s="64">
        <v>2</v>
      </c>
      <c r="V103" s="64">
        <v>2</v>
      </c>
      <c r="W103" s="64">
        <v>2</v>
      </c>
      <c r="X103" s="66">
        <v>2</v>
      </c>
      <c r="Y103" s="64"/>
      <c r="Z103" s="65"/>
      <c r="AA103" s="65"/>
      <c r="AB103" s="65"/>
      <c r="AC103" s="65"/>
      <c r="AD103" s="65"/>
      <c r="AE103" s="66" t="s">
        <v>27</v>
      </c>
    </row>
    <row r="104" spans="1:44" s="4" customFormat="1" ht="19.5">
      <c r="A104" s="69"/>
      <c r="B104" s="70"/>
      <c r="C104" s="71"/>
      <c r="D104" s="72"/>
      <c r="E104" s="72">
        <f>SUM(G104:X104)</f>
        <v>36</v>
      </c>
      <c r="F104" s="73"/>
      <c r="G104" s="71">
        <v>2</v>
      </c>
      <c r="H104" s="71">
        <v>2</v>
      </c>
      <c r="I104" s="71">
        <v>2</v>
      </c>
      <c r="J104" s="71">
        <v>2</v>
      </c>
      <c r="K104" s="71">
        <v>2</v>
      </c>
      <c r="L104" s="71">
        <v>2</v>
      </c>
      <c r="M104" s="71">
        <v>2</v>
      </c>
      <c r="N104" s="71">
        <v>2</v>
      </c>
      <c r="O104" s="71">
        <v>2</v>
      </c>
      <c r="P104" s="71">
        <v>2</v>
      </c>
      <c r="Q104" s="71">
        <v>2</v>
      </c>
      <c r="R104" s="71">
        <v>2</v>
      </c>
      <c r="S104" s="71">
        <v>2</v>
      </c>
      <c r="T104" s="71">
        <v>2</v>
      </c>
      <c r="U104" s="71">
        <v>2</v>
      </c>
      <c r="V104" s="71">
        <v>2</v>
      </c>
      <c r="W104" s="71">
        <v>2</v>
      </c>
      <c r="X104" s="73">
        <v>2</v>
      </c>
      <c r="Y104" s="71"/>
      <c r="Z104" s="72"/>
      <c r="AA104" s="72"/>
      <c r="AB104" s="72"/>
      <c r="AC104" s="72"/>
      <c r="AD104" s="72"/>
      <c r="AE104" s="76" t="s">
        <v>47</v>
      </c>
    </row>
    <row r="105" spans="1:44" s="4" customFormat="1" ht="21.75" customHeight="1" thickBot="1">
      <c r="A105" s="77"/>
      <c r="B105" s="78"/>
      <c r="C105" s="79"/>
      <c r="D105" s="80"/>
      <c r="E105" s="80"/>
      <c r="F105" s="81">
        <f>SUM(G105:X105)</f>
        <v>0</v>
      </c>
      <c r="G105" s="79"/>
      <c r="H105" s="80"/>
      <c r="I105" s="80"/>
      <c r="J105" s="80"/>
      <c r="K105" s="79"/>
      <c r="L105" s="80"/>
      <c r="M105" s="80"/>
      <c r="N105" s="80"/>
      <c r="O105" s="80"/>
      <c r="P105" s="80"/>
      <c r="Q105" s="79"/>
      <c r="R105" s="79"/>
      <c r="S105" s="80"/>
      <c r="T105" s="80"/>
      <c r="U105" s="80"/>
      <c r="V105" s="80"/>
      <c r="W105" s="80"/>
      <c r="X105" s="81"/>
      <c r="Y105" s="79"/>
      <c r="Z105" s="80"/>
      <c r="AA105" s="80"/>
      <c r="AB105" s="80"/>
      <c r="AC105" s="80"/>
      <c r="AD105" s="80"/>
      <c r="AE105" s="81">
        <v>36</v>
      </c>
      <c r="AM105" s="11"/>
      <c r="AN105" s="11"/>
      <c r="AO105" s="11"/>
      <c r="AP105" s="11"/>
      <c r="AQ105" s="11"/>
      <c r="AR105" s="11"/>
    </row>
    <row r="106" spans="1:44" ht="19.5" customHeight="1" thickBot="1">
      <c r="A106" s="161" t="s">
        <v>62</v>
      </c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3"/>
    </row>
    <row r="107" spans="1:44" s="4" customFormat="1" ht="37.5">
      <c r="A107" s="62">
        <v>17</v>
      </c>
      <c r="B107" s="63" t="s">
        <v>35</v>
      </c>
      <c r="C107" s="64">
        <f>SUM(D107:F109)</f>
        <v>42</v>
      </c>
      <c r="D107" s="65">
        <f>SUM(G107:X107)</f>
        <v>14</v>
      </c>
      <c r="E107" s="65"/>
      <c r="F107" s="66"/>
      <c r="G107" s="64">
        <v>2</v>
      </c>
      <c r="H107" s="65"/>
      <c r="I107" s="65">
        <v>2</v>
      </c>
      <c r="J107" s="65"/>
      <c r="K107" s="64">
        <v>2</v>
      </c>
      <c r="L107" s="65"/>
      <c r="M107" s="65">
        <v>2</v>
      </c>
      <c r="N107" s="65"/>
      <c r="O107" s="65">
        <v>2</v>
      </c>
      <c r="P107" s="65"/>
      <c r="Q107" s="64">
        <v>2</v>
      </c>
      <c r="R107" s="64"/>
      <c r="S107" s="65">
        <v>2</v>
      </c>
      <c r="T107" s="66"/>
      <c r="U107" s="64"/>
      <c r="V107" s="65"/>
      <c r="W107" s="65"/>
      <c r="X107" s="65"/>
      <c r="Y107" s="64"/>
      <c r="Z107" s="65"/>
      <c r="AA107" s="65"/>
      <c r="AB107" s="65"/>
      <c r="AC107" s="65"/>
      <c r="AD107" s="65"/>
      <c r="AE107" s="66" t="s">
        <v>27</v>
      </c>
    </row>
    <row r="108" spans="1:44" s="4" customFormat="1" ht="19.5">
      <c r="A108" s="69"/>
      <c r="B108" s="70"/>
      <c r="C108" s="71"/>
      <c r="D108" s="72"/>
      <c r="E108" s="72">
        <f>SUM(G108:X108)</f>
        <v>28</v>
      </c>
      <c r="F108" s="73"/>
      <c r="G108" s="71"/>
      <c r="H108" s="72">
        <v>4</v>
      </c>
      <c r="I108" s="72"/>
      <c r="J108" s="72">
        <v>4</v>
      </c>
      <c r="K108" s="74"/>
      <c r="L108" s="75">
        <v>4</v>
      </c>
      <c r="M108" s="75"/>
      <c r="N108" s="75">
        <v>4</v>
      </c>
      <c r="O108" s="75"/>
      <c r="P108" s="75">
        <v>4</v>
      </c>
      <c r="Q108" s="75"/>
      <c r="R108" s="75">
        <v>4</v>
      </c>
      <c r="S108" s="75"/>
      <c r="T108" s="107">
        <v>4</v>
      </c>
      <c r="U108" s="74"/>
      <c r="V108" s="75"/>
      <c r="W108" s="75"/>
      <c r="X108" s="72"/>
      <c r="Y108" s="71"/>
      <c r="Z108" s="72"/>
      <c r="AA108" s="72"/>
      <c r="AB108" s="72"/>
      <c r="AC108" s="72"/>
      <c r="AD108" s="72"/>
      <c r="AE108" s="76"/>
    </row>
    <row r="109" spans="1:44" s="4" customFormat="1" ht="21.75" customHeight="1" thickBot="1">
      <c r="A109" s="77"/>
      <c r="B109" s="78"/>
      <c r="C109" s="79"/>
      <c r="D109" s="80"/>
      <c r="E109" s="80"/>
      <c r="F109" s="81">
        <f>SUM(G109:X109)</f>
        <v>0</v>
      </c>
      <c r="G109" s="79"/>
      <c r="H109" s="80"/>
      <c r="I109" s="80"/>
      <c r="J109" s="80"/>
      <c r="K109" s="79"/>
      <c r="L109" s="80"/>
      <c r="M109" s="80"/>
      <c r="N109" s="80"/>
      <c r="O109" s="80"/>
      <c r="P109" s="80"/>
      <c r="Q109" s="79"/>
      <c r="R109" s="79"/>
      <c r="S109" s="80"/>
      <c r="T109" s="81"/>
      <c r="U109" s="79"/>
      <c r="V109" s="80"/>
      <c r="W109" s="80"/>
      <c r="X109" s="80"/>
      <c r="Y109" s="79"/>
      <c r="Z109" s="80"/>
      <c r="AA109" s="80"/>
      <c r="AB109" s="80"/>
      <c r="AC109" s="80"/>
      <c r="AD109" s="80"/>
      <c r="AE109" s="81">
        <v>36</v>
      </c>
      <c r="AM109" s="11"/>
      <c r="AN109" s="11"/>
      <c r="AO109" s="11"/>
      <c r="AP109" s="11"/>
      <c r="AQ109" s="11"/>
      <c r="AR109" s="11"/>
    </row>
    <row r="110" spans="1:44" ht="19.5" customHeight="1" thickBot="1">
      <c r="A110" s="161" t="s">
        <v>65</v>
      </c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3"/>
    </row>
    <row r="111" spans="1:44" s="4" customFormat="1" ht="19.5">
      <c r="A111" s="62">
        <v>17</v>
      </c>
      <c r="B111" s="63" t="s">
        <v>63</v>
      </c>
      <c r="C111" s="64">
        <f>SUM(D111:F113)</f>
        <v>72</v>
      </c>
      <c r="D111" s="65">
        <f>SUM(G111:X111)</f>
        <v>36</v>
      </c>
      <c r="E111" s="65"/>
      <c r="F111" s="66"/>
      <c r="G111" s="67">
        <v>2</v>
      </c>
      <c r="H111" s="67">
        <v>2</v>
      </c>
      <c r="I111" s="67">
        <v>2</v>
      </c>
      <c r="J111" s="67">
        <v>2</v>
      </c>
      <c r="K111" s="67">
        <v>2</v>
      </c>
      <c r="L111" s="67">
        <v>2</v>
      </c>
      <c r="M111" s="67">
        <v>2</v>
      </c>
      <c r="N111" s="67">
        <v>2</v>
      </c>
      <c r="O111" s="67">
        <v>2</v>
      </c>
      <c r="P111" s="67">
        <v>2</v>
      </c>
      <c r="Q111" s="67">
        <v>2</v>
      </c>
      <c r="R111" s="67">
        <v>2</v>
      </c>
      <c r="S111" s="67">
        <v>2</v>
      </c>
      <c r="T111" s="67">
        <v>2</v>
      </c>
      <c r="U111" s="67">
        <v>2</v>
      </c>
      <c r="V111" s="67">
        <v>2</v>
      </c>
      <c r="W111" s="67">
        <v>2</v>
      </c>
      <c r="X111" s="66">
        <v>2</v>
      </c>
      <c r="Y111" s="64"/>
      <c r="Z111" s="65"/>
      <c r="AA111" s="65"/>
      <c r="AB111" s="65"/>
      <c r="AC111" s="65"/>
      <c r="AD111" s="65"/>
      <c r="AE111" s="66" t="s">
        <v>15</v>
      </c>
    </row>
    <row r="112" spans="1:44" s="4" customFormat="1" ht="19.5">
      <c r="A112" s="69"/>
      <c r="B112" s="70"/>
      <c r="C112" s="71"/>
      <c r="D112" s="72"/>
      <c r="E112" s="72">
        <f>SUM(G112:X112)</f>
        <v>36</v>
      </c>
      <c r="F112" s="73"/>
      <c r="G112" s="71">
        <v>2</v>
      </c>
      <c r="H112" s="71">
        <v>2</v>
      </c>
      <c r="I112" s="71">
        <v>2</v>
      </c>
      <c r="J112" s="71">
        <v>2</v>
      </c>
      <c r="K112" s="71">
        <v>2</v>
      </c>
      <c r="L112" s="71">
        <v>2</v>
      </c>
      <c r="M112" s="71">
        <v>2</v>
      </c>
      <c r="N112" s="71">
        <v>2</v>
      </c>
      <c r="O112" s="71">
        <v>2</v>
      </c>
      <c r="P112" s="71">
        <v>2</v>
      </c>
      <c r="Q112" s="71">
        <v>2</v>
      </c>
      <c r="R112" s="71">
        <v>2</v>
      </c>
      <c r="S112" s="71">
        <v>2</v>
      </c>
      <c r="T112" s="71">
        <v>2</v>
      </c>
      <c r="U112" s="71">
        <v>2</v>
      </c>
      <c r="V112" s="71">
        <v>2</v>
      </c>
      <c r="W112" s="71">
        <v>2</v>
      </c>
      <c r="X112" s="90">
        <v>2</v>
      </c>
      <c r="Y112" s="91"/>
      <c r="Z112" s="72"/>
      <c r="AA112" s="72"/>
      <c r="AB112" s="72"/>
      <c r="AC112" s="72"/>
      <c r="AD112" s="72"/>
      <c r="AE112" s="76" t="s">
        <v>47</v>
      </c>
    </row>
    <row r="113" spans="1:44" s="4" customFormat="1" ht="21.75" customHeight="1" thickBot="1">
      <c r="A113" s="77"/>
      <c r="B113" s="78"/>
      <c r="C113" s="79"/>
      <c r="D113" s="80"/>
      <c r="E113" s="80"/>
      <c r="F113" s="81">
        <f>SUM(G113:X113)</f>
        <v>0</v>
      </c>
      <c r="G113" s="79"/>
      <c r="H113" s="80"/>
      <c r="I113" s="80"/>
      <c r="J113" s="79"/>
      <c r="K113" s="79"/>
      <c r="L113" s="80"/>
      <c r="M113" s="80"/>
      <c r="N113" s="80"/>
      <c r="O113" s="80"/>
      <c r="P113" s="80"/>
      <c r="Q113" s="79"/>
      <c r="R113" s="79"/>
      <c r="S113" s="80"/>
      <c r="T113" s="80"/>
      <c r="U113" s="80"/>
      <c r="V113" s="80"/>
      <c r="W113" s="80"/>
      <c r="X113" s="92"/>
      <c r="Y113" s="79"/>
      <c r="Z113" s="80"/>
      <c r="AA113" s="80"/>
      <c r="AB113" s="80"/>
      <c r="AC113" s="80"/>
      <c r="AD113" s="80"/>
      <c r="AE113" s="81">
        <v>18</v>
      </c>
      <c r="AM113" s="11"/>
      <c r="AN113" s="11"/>
      <c r="AO113" s="11"/>
      <c r="AP113" s="11"/>
      <c r="AQ113" s="11"/>
      <c r="AR113" s="11"/>
    </row>
    <row r="114" spans="1:44" s="4" customFormat="1" ht="93.75">
      <c r="A114" s="82">
        <v>17</v>
      </c>
      <c r="B114" s="83" t="s">
        <v>64</v>
      </c>
      <c r="C114" s="64">
        <f>SUM(D114:F116)</f>
        <v>36</v>
      </c>
      <c r="D114" s="65">
        <f>SUM(G114:X114)</f>
        <v>18</v>
      </c>
      <c r="E114" s="65"/>
      <c r="F114" s="66"/>
      <c r="G114" s="67">
        <v>2</v>
      </c>
      <c r="H114" s="68"/>
      <c r="I114" s="68">
        <v>2</v>
      </c>
      <c r="J114" s="67"/>
      <c r="K114" s="64">
        <v>2</v>
      </c>
      <c r="L114" s="65"/>
      <c r="M114" s="65">
        <v>2</v>
      </c>
      <c r="N114" s="65"/>
      <c r="O114" s="65">
        <v>2</v>
      </c>
      <c r="P114" s="65"/>
      <c r="Q114" s="64">
        <v>2</v>
      </c>
      <c r="R114" s="64"/>
      <c r="S114" s="65">
        <v>2</v>
      </c>
      <c r="T114" s="65"/>
      <c r="U114" s="65">
        <v>2</v>
      </c>
      <c r="V114" s="65"/>
      <c r="W114" s="65">
        <v>2</v>
      </c>
      <c r="X114" s="66"/>
      <c r="Y114" s="64"/>
      <c r="Z114" s="65"/>
      <c r="AA114" s="65"/>
      <c r="AB114" s="65"/>
      <c r="AC114" s="65"/>
      <c r="AD114" s="65"/>
      <c r="AE114" s="66" t="s">
        <v>27</v>
      </c>
      <c r="AM114" s="11"/>
      <c r="AN114" s="11"/>
      <c r="AO114" s="11"/>
      <c r="AP114" s="11"/>
      <c r="AQ114" s="11"/>
      <c r="AR114" s="11"/>
    </row>
    <row r="115" spans="1:44" s="4" customFormat="1">
      <c r="A115" s="84"/>
      <c r="B115" s="85"/>
      <c r="C115" s="71"/>
      <c r="D115" s="72"/>
      <c r="E115" s="72">
        <f>SUM(G115:X115)</f>
        <v>18</v>
      </c>
      <c r="F115" s="73"/>
      <c r="G115" s="71"/>
      <c r="H115" s="71">
        <v>2</v>
      </c>
      <c r="I115" s="71"/>
      <c r="J115" s="71">
        <v>2</v>
      </c>
      <c r="K115" s="71"/>
      <c r="L115" s="71">
        <v>2</v>
      </c>
      <c r="M115" s="71"/>
      <c r="N115" s="71">
        <v>2</v>
      </c>
      <c r="O115" s="71"/>
      <c r="P115" s="71">
        <v>2</v>
      </c>
      <c r="Q115" s="71"/>
      <c r="R115" s="71">
        <v>2</v>
      </c>
      <c r="S115" s="71"/>
      <c r="T115" s="71">
        <v>2</v>
      </c>
      <c r="U115" s="71"/>
      <c r="V115" s="71">
        <v>2</v>
      </c>
      <c r="W115" s="71"/>
      <c r="X115" s="90">
        <v>2</v>
      </c>
      <c r="Y115" s="91"/>
      <c r="Z115" s="72"/>
      <c r="AA115" s="72"/>
      <c r="AB115" s="72"/>
      <c r="AC115" s="72"/>
      <c r="AD115" s="72"/>
      <c r="AE115" s="76"/>
      <c r="AM115" s="12"/>
      <c r="AN115" s="96"/>
      <c r="AO115" s="145"/>
      <c r="AP115" s="145"/>
      <c r="AQ115" s="11"/>
      <c r="AR115" s="11"/>
    </row>
    <row r="116" spans="1:44" s="4" customFormat="1" ht="19.5" thickBot="1">
      <c r="A116" s="84"/>
      <c r="B116" s="85"/>
      <c r="C116" s="79"/>
      <c r="D116" s="80"/>
      <c r="E116" s="80"/>
      <c r="F116" s="81">
        <f>SUM(G116:X116)</f>
        <v>0</v>
      </c>
      <c r="G116" s="86"/>
      <c r="H116" s="87"/>
      <c r="I116" s="86"/>
      <c r="J116" s="79"/>
      <c r="K116" s="86"/>
      <c r="L116" s="72"/>
      <c r="M116" s="72"/>
      <c r="N116" s="72"/>
      <c r="O116" s="72"/>
      <c r="P116" s="72"/>
      <c r="Q116" s="71"/>
      <c r="R116" s="71"/>
      <c r="S116" s="72"/>
      <c r="T116" s="72"/>
      <c r="U116" s="72"/>
      <c r="V116" s="72"/>
      <c r="W116" s="72"/>
      <c r="X116" s="73"/>
      <c r="Y116" s="71"/>
      <c r="Z116" s="72"/>
      <c r="AA116" s="72"/>
      <c r="AB116" s="72"/>
      <c r="AC116" s="72"/>
      <c r="AD116" s="72"/>
      <c r="AE116" s="81">
        <v>27</v>
      </c>
      <c r="AM116" s="12"/>
      <c r="AN116" s="96"/>
      <c r="AO116" s="145"/>
      <c r="AP116" s="145"/>
      <c r="AQ116" s="11"/>
      <c r="AR116" s="11"/>
    </row>
    <row r="117" spans="1:44" ht="19.5" thickBot="1">
      <c r="A117" s="161" t="s">
        <v>68</v>
      </c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3"/>
    </row>
    <row r="118" spans="1:44" s="4" customFormat="1" ht="56.25">
      <c r="A118" s="62">
        <v>17</v>
      </c>
      <c r="B118" s="63" t="s">
        <v>66</v>
      </c>
      <c r="C118" s="64">
        <f>SUM(D118:F120)</f>
        <v>42</v>
      </c>
      <c r="D118" s="65">
        <f>SUM(G118:X118)</f>
        <v>14</v>
      </c>
      <c r="E118" s="65"/>
      <c r="F118" s="66"/>
      <c r="G118" s="67">
        <v>2</v>
      </c>
      <c r="H118" s="68"/>
      <c r="I118" s="68">
        <v>2</v>
      </c>
      <c r="J118" s="67"/>
      <c r="K118" s="64">
        <v>2</v>
      </c>
      <c r="L118" s="65"/>
      <c r="M118" s="65">
        <v>2</v>
      </c>
      <c r="N118" s="65"/>
      <c r="O118" s="65">
        <v>2</v>
      </c>
      <c r="P118" s="65"/>
      <c r="Q118" s="64">
        <v>2</v>
      </c>
      <c r="R118" s="64"/>
      <c r="S118" s="65">
        <v>2</v>
      </c>
      <c r="T118" s="66"/>
      <c r="U118" s="64"/>
      <c r="V118" s="65"/>
      <c r="W118" s="65"/>
      <c r="X118" s="65"/>
      <c r="Y118" s="64"/>
      <c r="Z118" s="65"/>
      <c r="AA118" s="65"/>
      <c r="AB118" s="65"/>
      <c r="AC118" s="65"/>
      <c r="AD118" s="65"/>
      <c r="AE118" s="66" t="s">
        <v>67</v>
      </c>
    </row>
    <row r="119" spans="1:44" s="4" customFormat="1" ht="19.5">
      <c r="A119" s="69"/>
      <c r="B119" s="70"/>
      <c r="C119" s="71"/>
      <c r="D119" s="72"/>
      <c r="E119" s="72">
        <f>SUM(G119:X119)</f>
        <v>28</v>
      </c>
      <c r="F119" s="73"/>
      <c r="G119" s="71"/>
      <c r="H119" s="72">
        <v>4</v>
      </c>
      <c r="I119" s="72"/>
      <c r="J119" s="72">
        <v>4</v>
      </c>
      <c r="K119" s="74"/>
      <c r="L119" s="75">
        <v>4</v>
      </c>
      <c r="M119" s="75"/>
      <c r="N119" s="75">
        <v>4</v>
      </c>
      <c r="O119" s="75"/>
      <c r="P119" s="75">
        <v>4</v>
      </c>
      <c r="Q119" s="75"/>
      <c r="R119" s="75">
        <v>4</v>
      </c>
      <c r="S119" s="75"/>
      <c r="T119" s="107">
        <v>4</v>
      </c>
      <c r="U119" s="74"/>
      <c r="V119" s="75"/>
      <c r="W119" s="75"/>
      <c r="X119" s="72"/>
      <c r="Y119" s="71"/>
      <c r="Z119" s="72"/>
      <c r="AA119" s="72"/>
      <c r="AB119" s="72"/>
      <c r="AC119" s="72"/>
      <c r="AD119" s="72"/>
      <c r="AE119" s="76"/>
    </row>
    <row r="120" spans="1:44" s="4" customFormat="1" ht="21.75" customHeight="1" thickBot="1">
      <c r="A120" s="77"/>
      <c r="B120" s="78"/>
      <c r="C120" s="79"/>
      <c r="D120" s="80"/>
      <c r="E120" s="80"/>
      <c r="F120" s="81">
        <f>SUM(G120:X120)</f>
        <v>0</v>
      </c>
      <c r="G120" s="79"/>
      <c r="H120" s="80"/>
      <c r="I120" s="80"/>
      <c r="J120" s="80"/>
      <c r="K120" s="79"/>
      <c r="L120" s="80"/>
      <c r="M120" s="80"/>
      <c r="N120" s="80"/>
      <c r="O120" s="80"/>
      <c r="P120" s="80"/>
      <c r="Q120" s="79"/>
      <c r="R120" s="79"/>
      <c r="S120" s="80"/>
      <c r="T120" s="81"/>
      <c r="U120" s="79"/>
      <c r="V120" s="80"/>
      <c r="W120" s="80"/>
      <c r="X120" s="80"/>
      <c r="Y120" s="79"/>
      <c r="Z120" s="80"/>
      <c r="AA120" s="80"/>
      <c r="AB120" s="80"/>
      <c r="AC120" s="80"/>
      <c r="AD120" s="80"/>
      <c r="AE120" s="81">
        <v>9</v>
      </c>
      <c r="AM120" s="11"/>
      <c r="AN120" s="11"/>
      <c r="AO120" s="11"/>
      <c r="AP120" s="11"/>
      <c r="AQ120" s="11"/>
      <c r="AR120" s="11"/>
    </row>
    <row r="121" spans="1:44" ht="19.5" thickBot="1">
      <c r="A121" s="161" t="s">
        <v>70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3"/>
    </row>
    <row r="122" spans="1:44" s="4" customFormat="1" ht="93.75">
      <c r="A122" s="62">
        <v>17</v>
      </c>
      <c r="B122" s="63" t="s">
        <v>69</v>
      </c>
      <c r="C122" s="64">
        <f>SUM(D122:F124)</f>
        <v>48</v>
      </c>
      <c r="D122" s="65">
        <f>SUM(G122:X122)</f>
        <v>16</v>
      </c>
      <c r="E122" s="65"/>
      <c r="F122" s="66"/>
      <c r="G122" s="64">
        <v>2</v>
      </c>
      <c r="H122" s="65"/>
      <c r="I122" s="65">
        <v>2</v>
      </c>
      <c r="J122" s="65"/>
      <c r="K122" s="64">
        <v>2</v>
      </c>
      <c r="L122" s="65"/>
      <c r="M122" s="65">
        <v>2</v>
      </c>
      <c r="N122" s="65"/>
      <c r="O122" s="65">
        <v>2</v>
      </c>
      <c r="P122" s="65"/>
      <c r="Q122" s="64">
        <v>2</v>
      </c>
      <c r="R122" s="64"/>
      <c r="S122" s="65">
        <v>2</v>
      </c>
      <c r="T122" s="65"/>
      <c r="U122" s="65">
        <v>2</v>
      </c>
      <c r="V122" s="66"/>
      <c r="W122" s="64"/>
      <c r="X122" s="65"/>
      <c r="Y122" s="64"/>
      <c r="Z122" s="65"/>
      <c r="AA122" s="65"/>
      <c r="AB122" s="65"/>
      <c r="AC122" s="65"/>
      <c r="AD122" s="65"/>
      <c r="AE122" s="66" t="s">
        <v>20</v>
      </c>
    </row>
    <row r="123" spans="1:44" s="4" customFormat="1" ht="19.5">
      <c r="A123" s="69"/>
      <c r="B123" s="70"/>
      <c r="C123" s="71"/>
      <c r="D123" s="72"/>
      <c r="E123" s="72">
        <f>SUM(G123:X123)</f>
        <v>32</v>
      </c>
      <c r="F123" s="73"/>
      <c r="G123" s="71"/>
      <c r="H123" s="72">
        <v>4</v>
      </c>
      <c r="I123" s="72"/>
      <c r="J123" s="72">
        <v>4</v>
      </c>
      <c r="K123" s="74"/>
      <c r="L123" s="75">
        <v>4</v>
      </c>
      <c r="M123" s="75"/>
      <c r="N123" s="75">
        <v>4</v>
      </c>
      <c r="O123" s="75"/>
      <c r="P123" s="75">
        <v>4</v>
      </c>
      <c r="Q123" s="75"/>
      <c r="R123" s="75">
        <v>4</v>
      </c>
      <c r="S123" s="75"/>
      <c r="T123" s="75">
        <v>4</v>
      </c>
      <c r="U123" s="75"/>
      <c r="V123" s="107">
        <v>4</v>
      </c>
      <c r="W123" s="74"/>
      <c r="X123" s="72"/>
      <c r="Y123" s="71"/>
      <c r="Z123" s="72"/>
      <c r="AA123" s="72"/>
      <c r="AB123" s="72"/>
      <c r="AC123" s="72"/>
      <c r="AD123" s="72"/>
      <c r="AE123" s="76"/>
    </row>
    <row r="124" spans="1:44" s="4" customFormat="1" ht="21.75" customHeight="1" thickBot="1">
      <c r="A124" s="77"/>
      <c r="B124" s="78"/>
      <c r="C124" s="79"/>
      <c r="D124" s="80"/>
      <c r="E124" s="80"/>
      <c r="F124" s="81">
        <f>SUM(G124:X124)</f>
        <v>0</v>
      </c>
      <c r="G124" s="79"/>
      <c r="H124" s="80"/>
      <c r="I124" s="80"/>
      <c r="J124" s="80"/>
      <c r="K124" s="79"/>
      <c r="L124" s="80"/>
      <c r="M124" s="80"/>
      <c r="N124" s="80"/>
      <c r="O124" s="80"/>
      <c r="P124" s="80"/>
      <c r="Q124" s="79"/>
      <c r="R124" s="79"/>
      <c r="S124" s="80"/>
      <c r="T124" s="80"/>
      <c r="U124" s="80"/>
      <c r="V124" s="81"/>
      <c r="W124" s="79"/>
      <c r="X124" s="80"/>
      <c r="Y124" s="79"/>
      <c r="Z124" s="80"/>
      <c r="AA124" s="80"/>
      <c r="AB124" s="80"/>
      <c r="AC124" s="80"/>
      <c r="AD124" s="80"/>
      <c r="AE124" s="81">
        <v>18</v>
      </c>
      <c r="AM124" s="11"/>
      <c r="AN124" s="11"/>
      <c r="AO124" s="11"/>
      <c r="AP124" s="11"/>
      <c r="AQ124" s="11"/>
      <c r="AR124" s="11"/>
    </row>
    <row r="125" spans="1:44" ht="19.5" thickBot="1">
      <c r="A125" s="161" t="s">
        <v>78</v>
      </c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3"/>
    </row>
    <row r="126" spans="1:44" s="4" customFormat="1" ht="56.25">
      <c r="A126" s="82">
        <v>17</v>
      </c>
      <c r="B126" s="83" t="s">
        <v>71</v>
      </c>
      <c r="C126" s="64">
        <f>SUM(D126:F128)</f>
        <v>72</v>
      </c>
      <c r="D126" s="65">
        <f>SUM(G126:X126)</f>
        <v>36</v>
      </c>
      <c r="E126" s="65"/>
      <c r="F126" s="66"/>
      <c r="G126" s="67">
        <v>2</v>
      </c>
      <c r="H126" s="67">
        <v>2</v>
      </c>
      <c r="I126" s="67">
        <v>2</v>
      </c>
      <c r="J126" s="67">
        <v>2</v>
      </c>
      <c r="K126" s="67">
        <v>2</v>
      </c>
      <c r="L126" s="67">
        <v>2</v>
      </c>
      <c r="M126" s="67">
        <v>2</v>
      </c>
      <c r="N126" s="67">
        <v>2</v>
      </c>
      <c r="O126" s="67">
        <v>2</v>
      </c>
      <c r="P126" s="67">
        <v>2</v>
      </c>
      <c r="Q126" s="67">
        <v>2</v>
      </c>
      <c r="R126" s="67">
        <v>2</v>
      </c>
      <c r="S126" s="67">
        <v>2</v>
      </c>
      <c r="T126" s="67">
        <v>2</v>
      </c>
      <c r="U126" s="67">
        <v>2</v>
      </c>
      <c r="V126" s="67">
        <v>2</v>
      </c>
      <c r="W126" s="67">
        <v>2</v>
      </c>
      <c r="X126" s="66">
        <v>2</v>
      </c>
      <c r="Y126" s="64"/>
      <c r="Z126" s="65"/>
      <c r="AA126" s="65"/>
      <c r="AB126" s="65"/>
      <c r="AC126" s="65"/>
      <c r="AD126" s="65"/>
      <c r="AE126" s="66" t="s">
        <v>27</v>
      </c>
      <c r="AM126" s="11"/>
      <c r="AN126" s="11"/>
      <c r="AO126" s="11"/>
      <c r="AP126" s="11"/>
      <c r="AQ126" s="11"/>
      <c r="AR126" s="11"/>
    </row>
    <row r="127" spans="1:44" s="4" customFormat="1">
      <c r="A127" s="84"/>
      <c r="B127" s="85"/>
      <c r="C127" s="71"/>
      <c r="D127" s="72"/>
      <c r="E127" s="72">
        <f>SUM(G127:X127)</f>
        <v>36</v>
      </c>
      <c r="F127" s="73"/>
      <c r="G127" s="71">
        <v>2</v>
      </c>
      <c r="H127" s="71">
        <v>2</v>
      </c>
      <c r="I127" s="71">
        <v>2</v>
      </c>
      <c r="J127" s="71">
        <v>2</v>
      </c>
      <c r="K127" s="71">
        <v>2</v>
      </c>
      <c r="L127" s="71">
        <v>2</v>
      </c>
      <c r="M127" s="71">
        <v>2</v>
      </c>
      <c r="N127" s="71">
        <v>2</v>
      </c>
      <c r="O127" s="71">
        <v>2</v>
      </c>
      <c r="P127" s="71">
        <v>2</v>
      </c>
      <c r="Q127" s="71">
        <v>2</v>
      </c>
      <c r="R127" s="71">
        <v>2</v>
      </c>
      <c r="S127" s="71">
        <v>2</v>
      </c>
      <c r="T127" s="71">
        <v>2</v>
      </c>
      <c r="U127" s="71">
        <v>2</v>
      </c>
      <c r="V127" s="71">
        <v>2</v>
      </c>
      <c r="W127" s="71">
        <v>2</v>
      </c>
      <c r="X127" s="90">
        <v>2</v>
      </c>
      <c r="Y127" s="91"/>
      <c r="Z127" s="72"/>
      <c r="AA127" s="72"/>
      <c r="AB127" s="72"/>
      <c r="AC127" s="72"/>
      <c r="AD127" s="72"/>
      <c r="AE127" s="76" t="s">
        <v>55</v>
      </c>
      <c r="AM127" s="12"/>
      <c r="AN127" s="96"/>
      <c r="AO127" s="145"/>
      <c r="AP127" s="145"/>
      <c r="AQ127" s="11"/>
      <c r="AR127" s="11"/>
    </row>
    <row r="128" spans="1:44" s="4" customFormat="1" ht="19.5" thickBot="1">
      <c r="A128" s="84"/>
      <c r="B128" s="85"/>
      <c r="C128" s="79"/>
      <c r="D128" s="80"/>
      <c r="E128" s="80"/>
      <c r="F128" s="81">
        <f>SUM(G128:X128)</f>
        <v>0</v>
      </c>
      <c r="G128" s="86"/>
      <c r="H128" s="87"/>
      <c r="I128" s="86"/>
      <c r="J128" s="79"/>
      <c r="K128" s="86"/>
      <c r="L128" s="72"/>
      <c r="M128" s="72"/>
      <c r="N128" s="72"/>
      <c r="O128" s="72"/>
      <c r="P128" s="72"/>
      <c r="Q128" s="71"/>
      <c r="R128" s="71"/>
      <c r="S128" s="72"/>
      <c r="T128" s="72"/>
      <c r="U128" s="72"/>
      <c r="V128" s="72"/>
      <c r="W128" s="72"/>
      <c r="X128" s="73"/>
      <c r="Y128" s="71"/>
      <c r="Z128" s="72"/>
      <c r="AA128" s="72"/>
      <c r="AB128" s="72"/>
      <c r="AC128" s="72"/>
      <c r="AD128" s="72"/>
      <c r="AE128" s="81">
        <v>27</v>
      </c>
      <c r="AM128" s="12"/>
      <c r="AN128" s="96"/>
      <c r="AO128" s="145"/>
      <c r="AP128" s="145"/>
      <c r="AQ128" s="11"/>
      <c r="AR128" s="11"/>
    </row>
    <row r="129" spans="1:44" s="4" customFormat="1" ht="75">
      <c r="A129" s="62">
        <v>17</v>
      </c>
      <c r="B129" s="63" t="s">
        <v>72</v>
      </c>
      <c r="C129" s="64">
        <f>SUM(D129:F131)</f>
        <v>36</v>
      </c>
      <c r="D129" s="65">
        <f>SUM(G129:X129)</f>
        <v>18</v>
      </c>
      <c r="E129" s="65"/>
      <c r="F129" s="66"/>
      <c r="G129" s="64">
        <v>2</v>
      </c>
      <c r="H129" s="65"/>
      <c r="I129" s="65">
        <v>2</v>
      </c>
      <c r="J129" s="65"/>
      <c r="K129" s="64">
        <v>2</v>
      </c>
      <c r="L129" s="65"/>
      <c r="M129" s="65">
        <v>2</v>
      </c>
      <c r="N129" s="65"/>
      <c r="O129" s="65">
        <v>2</v>
      </c>
      <c r="P129" s="65"/>
      <c r="Q129" s="64">
        <v>2</v>
      </c>
      <c r="R129" s="64"/>
      <c r="S129" s="65">
        <v>2</v>
      </c>
      <c r="T129" s="65"/>
      <c r="U129" s="65">
        <v>2</v>
      </c>
      <c r="V129" s="65"/>
      <c r="W129" s="65">
        <v>2</v>
      </c>
      <c r="X129" s="66"/>
      <c r="Y129" s="64"/>
      <c r="Z129" s="65"/>
      <c r="AA129" s="65"/>
      <c r="AB129" s="65"/>
      <c r="AC129" s="65"/>
      <c r="AD129" s="65"/>
      <c r="AE129" s="66" t="s">
        <v>27</v>
      </c>
    </row>
    <row r="130" spans="1:44" s="4" customFormat="1" ht="19.5">
      <c r="A130" s="69"/>
      <c r="B130" s="70"/>
      <c r="C130" s="71"/>
      <c r="D130" s="72"/>
      <c r="E130" s="72">
        <f>SUM(G130:X130)</f>
        <v>18</v>
      </c>
      <c r="F130" s="73"/>
      <c r="G130" s="71"/>
      <c r="H130" s="72">
        <v>2</v>
      </c>
      <c r="I130" s="72"/>
      <c r="J130" s="72">
        <v>2</v>
      </c>
      <c r="K130" s="74"/>
      <c r="L130" s="75">
        <v>2</v>
      </c>
      <c r="M130" s="75"/>
      <c r="N130" s="75">
        <v>2</v>
      </c>
      <c r="O130" s="75"/>
      <c r="P130" s="75">
        <v>2</v>
      </c>
      <c r="Q130" s="75"/>
      <c r="R130" s="75">
        <v>2</v>
      </c>
      <c r="S130" s="75"/>
      <c r="T130" s="75">
        <v>2</v>
      </c>
      <c r="U130" s="75"/>
      <c r="V130" s="75">
        <v>2</v>
      </c>
      <c r="W130" s="75"/>
      <c r="X130" s="73">
        <v>2</v>
      </c>
      <c r="Y130" s="71"/>
      <c r="Z130" s="72"/>
      <c r="AA130" s="72"/>
      <c r="AB130" s="72"/>
      <c r="AC130" s="72"/>
      <c r="AD130" s="72"/>
      <c r="AE130" s="76"/>
    </row>
    <row r="131" spans="1:44" s="4" customFormat="1" ht="21.75" customHeight="1" thickBot="1">
      <c r="A131" s="77"/>
      <c r="B131" s="78"/>
      <c r="C131" s="79"/>
      <c r="D131" s="80"/>
      <c r="E131" s="80"/>
      <c r="F131" s="81">
        <f>SUM(G131:X131)</f>
        <v>0</v>
      </c>
      <c r="G131" s="79"/>
      <c r="H131" s="80"/>
      <c r="I131" s="80"/>
      <c r="J131" s="80"/>
      <c r="K131" s="79"/>
      <c r="L131" s="80"/>
      <c r="M131" s="80"/>
      <c r="N131" s="80"/>
      <c r="O131" s="80"/>
      <c r="P131" s="80"/>
      <c r="Q131" s="79"/>
      <c r="R131" s="79"/>
      <c r="S131" s="80"/>
      <c r="T131" s="80"/>
      <c r="U131" s="80"/>
      <c r="V131" s="80"/>
      <c r="W131" s="80"/>
      <c r="X131" s="81"/>
      <c r="Y131" s="79"/>
      <c r="Z131" s="80"/>
      <c r="AA131" s="80"/>
      <c r="AB131" s="80"/>
      <c r="AC131" s="80"/>
      <c r="AD131" s="80"/>
      <c r="AE131" s="81">
        <v>36</v>
      </c>
      <c r="AM131" s="11"/>
      <c r="AN131" s="11"/>
      <c r="AO131" s="11"/>
      <c r="AP131" s="11"/>
      <c r="AQ131" s="11"/>
      <c r="AR131" s="11"/>
    </row>
    <row r="132" spans="1:44" s="4" customFormat="1" ht="75">
      <c r="A132" s="82">
        <v>17</v>
      </c>
      <c r="B132" s="83" t="s">
        <v>73</v>
      </c>
      <c r="C132" s="64">
        <f>SUM(D132:F134)</f>
        <v>72</v>
      </c>
      <c r="D132" s="65">
        <f>SUM(G132:X132)</f>
        <v>36</v>
      </c>
      <c r="E132" s="65"/>
      <c r="F132" s="66"/>
      <c r="G132" s="67">
        <v>2</v>
      </c>
      <c r="H132" s="67">
        <v>2</v>
      </c>
      <c r="I132" s="67">
        <v>2</v>
      </c>
      <c r="J132" s="67">
        <v>2</v>
      </c>
      <c r="K132" s="67">
        <v>2</v>
      </c>
      <c r="L132" s="67">
        <v>2</v>
      </c>
      <c r="M132" s="67">
        <v>2</v>
      </c>
      <c r="N132" s="67">
        <v>2</v>
      </c>
      <c r="O132" s="67">
        <v>2</v>
      </c>
      <c r="P132" s="67">
        <v>2</v>
      </c>
      <c r="Q132" s="67">
        <v>2</v>
      </c>
      <c r="R132" s="67">
        <v>2</v>
      </c>
      <c r="S132" s="67">
        <v>2</v>
      </c>
      <c r="T132" s="67">
        <v>2</v>
      </c>
      <c r="U132" s="67">
        <v>2</v>
      </c>
      <c r="V132" s="67">
        <v>2</v>
      </c>
      <c r="W132" s="67">
        <v>2</v>
      </c>
      <c r="X132" s="66">
        <v>2</v>
      </c>
      <c r="Y132" s="64"/>
      <c r="Z132" s="65"/>
      <c r="AA132" s="65"/>
      <c r="AB132" s="65"/>
      <c r="AC132" s="65"/>
      <c r="AD132" s="65"/>
      <c r="AE132" s="66" t="s">
        <v>27</v>
      </c>
      <c r="AM132" s="11"/>
      <c r="AN132" s="11"/>
      <c r="AO132" s="11"/>
      <c r="AP132" s="11"/>
      <c r="AQ132" s="11"/>
      <c r="AR132" s="11"/>
    </row>
    <row r="133" spans="1:44" s="4" customFormat="1">
      <c r="A133" s="84"/>
      <c r="B133" s="85"/>
      <c r="C133" s="71"/>
      <c r="D133" s="72"/>
      <c r="E133" s="72">
        <f>SUM(G133:X133)</f>
        <v>36</v>
      </c>
      <c r="F133" s="73"/>
      <c r="G133" s="71">
        <v>2</v>
      </c>
      <c r="H133" s="71">
        <v>2</v>
      </c>
      <c r="I133" s="71">
        <v>2</v>
      </c>
      <c r="J133" s="71">
        <v>2</v>
      </c>
      <c r="K133" s="71">
        <v>2</v>
      </c>
      <c r="L133" s="71">
        <v>2</v>
      </c>
      <c r="M133" s="71">
        <v>2</v>
      </c>
      <c r="N133" s="71">
        <v>2</v>
      </c>
      <c r="O133" s="71">
        <v>2</v>
      </c>
      <c r="P133" s="71">
        <v>2</v>
      </c>
      <c r="Q133" s="71">
        <v>2</v>
      </c>
      <c r="R133" s="71">
        <v>2</v>
      </c>
      <c r="S133" s="71">
        <v>2</v>
      </c>
      <c r="T133" s="71">
        <v>2</v>
      </c>
      <c r="U133" s="71">
        <v>2</v>
      </c>
      <c r="V133" s="71">
        <v>2</v>
      </c>
      <c r="W133" s="71">
        <v>2</v>
      </c>
      <c r="X133" s="90">
        <v>2</v>
      </c>
      <c r="Y133" s="91"/>
      <c r="Z133" s="72"/>
      <c r="AA133" s="72"/>
      <c r="AB133" s="72"/>
      <c r="AC133" s="72"/>
      <c r="AD133" s="72"/>
      <c r="AE133" s="76"/>
      <c r="AM133" s="12"/>
      <c r="AN133" s="96"/>
      <c r="AO133" s="145"/>
      <c r="AP133" s="145"/>
      <c r="AQ133" s="11"/>
      <c r="AR133" s="11"/>
    </row>
    <row r="134" spans="1:44" s="4" customFormat="1" ht="19.5" thickBot="1">
      <c r="A134" s="88"/>
      <c r="B134" s="89"/>
      <c r="C134" s="79"/>
      <c r="D134" s="80"/>
      <c r="E134" s="80"/>
      <c r="F134" s="81">
        <f>SUM(G134:X134)</f>
        <v>0</v>
      </c>
      <c r="G134" s="79"/>
      <c r="H134" s="80"/>
      <c r="I134" s="80"/>
      <c r="J134" s="79"/>
      <c r="K134" s="79"/>
      <c r="L134" s="80"/>
      <c r="M134" s="80"/>
      <c r="N134" s="80"/>
      <c r="O134" s="80"/>
      <c r="P134" s="80"/>
      <c r="Q134" s="79"/>
      <c r="R134" s="79"/>
      <c r="S134" s="80"/>
      <c r="T134" s="80"/>
      <c r="U134" s="80"/>
      <c r="V134" s="80"/>
      <c r="W134" s="80"/>
      <c r="X134" s="92"/>
      <c r="Y134" s="86"/>
      <c r="Z134" s="87"/>
      <c r="AA134" s="87"/>
      <c r="AB134" s="87"/>
      <c r="AC134" s="87"/>
      <c r="AD134" s="87"/>
      <c r="AE134" s="81">
        <v>36</v>
      </c>
      <c r="AM134" s="12"/>
      <c r="AN134" s="96"/>
      <c r="AO134" s="145"/>
      <c r="AP134" s="145"/>
      <c r="AQ134" s="11"/>
      <c r="AR134" s="11"/>
    </row>
    <row r="135" spans="1:44" s="4" customFormat="1" ht="37.5">
      <c r="A135" s="82">
        <v>17</v>
      </c>
      <c r="B135" s="83" t="s">
        <v>74</v>
      </c>
      <c r="C135" s="64">
        <f>SUM(D135:F137)</f>
        <v>72</v>
      </c>
      <c r="D135" s="65">
        <f>SUM(G135:X135)</f>
        <v>36</v>
      </c>
      <c r="E135" s="65"/>
      <c r="F135" s="66"/>
      <c r="G135" s="67">
        <v>2</v>
      </c>
      <c r="H135" s="67">
        <v>2</v>
      </c>
      <c r="I135" s="67">
        <v>2</v>
      </c>
      <c r="J135" s="67">
        <v>2</v>
      </c>
      <c r="K135" s="67">
        <v>2</v>
      </c>
      <c r="L135" s="67">
        <v>2</v>
      </c>
      <c r="M135" s="67">
        <v>2</v>
      </c>
      <c r="N135" s="67">
        <v>2</v>
      </c>
      <c r="O135" s="67">
        <v>2</v>
      </c>
      <c r="P135" s="67">
        <v>2</v>
      </c>
      <c r="Q135" s="67">
        <v>2</v>
      </c>
      <c r="R135" s="67">
        <v>2</v>
      </c>
      <c r="S135" s="67">
        <v>2</v>
      </c>
      <c r="T135" s="67">
        <v>2</v>
      </c>
      <c r="U135" s="67">
        <v>2</v>
      </c>
      <c r="V135" s="67">
        <v>2</v>
      </c>
      <c r="W135" s="67">
        <v>2</v>
      </c>
      <c r="X135" s="66">
        <v>2</v>
      </c>
      <c r="Y135" s="64"/>
      <c r="Z135" s="65"/>
      <c r="AA135" s="65"/>
      <c r="AB135" s="65"/>
      <c r="AC135" s="65"/>
      <c r="AD135" s="65"/>
      <c r="AE135" s="66" t="s">
        <v>27</v>
      </c>
      <c r="AM135" s="11"/>
      <c r="AN135" s="11"/>
      <c r="AO135" s="11"/>
      <c r="AP135" s="11"/>
      <c r="AQ135" s="11"/>
      <c r="AR135" s="11"/>
    </row>
    <row r="136" spans="1:44" s="4" customFormat="1">
      <c r="A136" s="84"/>
      <c r="B136" s="85"/>
      <c r="C136" s="71"/>
      <c r="D136" s="72"/>
      <c r="E136" s="72">
        <f>SUM(G136:X136)</f>
        <v>36</v>
      </c>
      <c r="F136" s="73"/>
      <c r="G136" s="71">
        <v>2</v>
      </c>
      <c r="H136" s="71">
        <v>2</v>
      </c>
      <c r="I136" s="71">
        <v>2</v>
      </c>
      <c r="J136" s="71">
        <v>2</v>
      </c>
      <c r="K136" s="71">
        <v>2</v>
      </c>
      <c r="L136" s="71">
        <v>2</v>
      </c>
      <c r="M136" s="71">
        <v>2</v>
      </c>
      <c r="N136" s="71">
        <v>2</v>
      </c>
      <c r="O136" s="71">
        <v>2</v>
      </c>
      <c r="P136" s="71">
        <v>2</v>
      </c>
      <c r="Q136" s="71">
        <v>2</v>
      </c>
      <c r="R136" s="71">
        <v>2</v>
      </c>
      <c r="S136" s="71">
        <v>2</v>
      </c>
      <c r="T136" s="71">
        <v>2</v>
      </c>
      <c r="U136" s="71">
        <v>2</v>
      </c>
      <c r="V136" s="71">
        <v>2</v>
      </c>
      <c r="W136" s="71">
        <v>2</v>
      </c>
      <c r="X136" s="90">
        <v>2</v>
      </c>
      <c r="Y136" s="91"/>
      <c r="Z136" s="72"/>
      <c r="AA136" s="72"/>
      <c r="AB136" s="72"/>
      <c r="AC136" s="72"/>
      <c r="AD136" s="72"/>
      <c r="AE136" s="76"/>
      <c r="AM136" s="12"/>
      <c r="AN136" s="96"/>
      <c r="AO136" s="145"/>
      <c r="AP136" s="145"/>
      <c r="AQ136" s="11"/>
      <c r="AR136" s="11"/>
    </row>
    <row r="137" spans="1:44" s="4" customFormat="1" ht="19.5" thickBot="1">
      <c r="A137" s="88"/>
      <c r="B137" s="89"/>
      <c r="C137" s="79"/>
      <c r="D137" s="80"/>
      <c r="E137" s="80"/>
      <c r="F137" s="81">
        <f>SUM(G137:X137)</f>
        <v>0</v>
      </c>
      <c r="G137" s="79"/>
      <c r="H137" s="80"/>
      <c r="I137" s="80"/>
      <c r="J137" s="79"/>
      <c r="K137" s="79"/>
      <c r="L137" s="80"/>
      <c r="M137" s="80"/>
      <c r="N137" s="80"/>
      <c r="O137" s="80"/>
      <c r="P137" s="80"/>
      <c r="Q137" s="79"/>
      <c r="R137" s="79"/>
      <c r="S137" s="80"/>
      <c r="T137" s="80"/>
      <c r="U137" s="80"/>
      <c r="V137" s="80"/>
      <c r="W137" s="80"/>
      <c r="X137" s="92"/>
      <c r="Y137" s="86"/>
      <c r="Z137" s="87"/>
      <c r="AA137" s="87"/>
      <c r="AB137" s="87"/>
      <c r="AC137" s="87"/>
      <c r="AD137" s="87"/>
      <c r="AE137" s="81">
        <v>36</v>
      </c>
      <c r="AM137" s="12"/>
      <c r="AN137" s="96"/>
      <c r="AO137" s="145"/>
      <c r="AP137" s="145"/>
      <c r="AQ137" s="11"/>
      <c r="AR137" s="11"/>
    </row>
    <row r="138" spans="1:44" s="4" customFormat="1" ht="37.5">
      <c r="A138" s="82">
        <v>17</v>
      </c>
      <c r="B138" s="83" t="s">
        <v>75</v>
      </c>
      <c r="C138" s="64">
        <f>SUM(D138:F140)</f>
        <v>72</v>
      </c>
      <c r="D138" s="65">
        <f>SUM(G138:X138)</f>
        <v>36</v>
      </c>
      <c r="E138" s="65"/>
      <c r="F138" s="66"/>
      <c r="G138" s="67">
        <v>2</v>
      </c>
      <c r="H138" s="67">
        <v>2</v>
      </c>
      <c r="I138" s="67">
        <v>2</v>
      </c>
      <c r="J138" s="67">
        <v>2</v>
      </c>
      <c r="K138" s="67">
        <v>2</v>
      </c>
      <c r="L138" s="67">
        <v>2</v>
      </c>
      <c r="M138" s="67">
        <v>2</v>
      </c>
      <c r="N138" s="67">
        <v>2</v>
      </c>
      <c r="O138" s="67">
        <v>2</v>
      </c>
      <c r="P138" s="67">
        <v>2</v>
      </c>
      <c r="Q138" s="67">
        <v>2</v>
      </c>
      <c r="R138" s="67">
        <v>2</v>
      </c>
      <c r="S138" s="67">
        <v>2</v>
      </c>
      <c r="T138" s="67">
        <v>2</v>
      </c>
      <c r="U138" s="67">
        <v>2</v>
      </c>
      <c r="V138" s="67">
        <v>2</v>
      </c>
      <c r="W138" s="67">
        <v>2</v>
      </c>
      <c r="X138" s="66">
        <v>2</v>
      </c>
      <c r="Y138" s="64"/>
      <c r="Z138" s="65"/>
      <c r="AA138" s="65"/>
      <c r="AB138" s="65"/>
      <c r="AC138" s="65"/>
      <c r="AD138" s="65"/>
      <c r="AE138" s="66" t="s">
        <v>15</v>
      </c>
      <c r="AM138" s="11"/>
      <c r="AN138" s="11"/>
      <c r="AO138" s="11"/>
      <c r="AP138" s="11"/>
      <c r="AQ138" s="11"/>
      <c r="AR138" s="11"/>
    </row>
    <row r="139" spans="1:44" s="4" customFormat="1">
      <c r="A139" s="84"/>
      <c r="B139" s="85"/>
      <c r="C139" s="71"/>
      <c r="D139" s="72"/>
      <c r="E139" s="72">
        <f>SUM(G139:X139)</f>
        <v>36</v>
      </c>
      <c r="F139" s="73"/>
      <c r="G139" s="71">
        <v>2</v>
      </c>
      <c r="H139" s="71">
        <v>2</v>
      </c>
      <c r="I139" s="71">
        <v>2</v>
      </c>
      <c r="J139" s="71">
        <v>2</v>
      </c>
      <c r="K139" s="71">
        <v>2</v>
      </c>
      <c r="L139" s="71">
        <v>2</v>
      </c>
      <c r="M139" s="71">
        <v>2</v>
      </c>
      <c r="N139" s="71">
        <v>2</v>
      </c>
      <c r="O139" s="71">
        <v>2</v>
      </c>
      <c r="P139" s="71">
        <v>2</v>
      </c>
      <c r="Q139" s="71">
        <v>2</v>
      </c>
      <c r="R139" s="71">
        <v>2</v>
      </c>
      <c r="S139" s="71">
        <v>2</v>
      </c>
      <c r="T139" s="71">
        <v>2</v>
      </c>
      <c r="U139" s="71">
        <v>2</v>
      </c>
      <c r="V139" s="71">
        <v>2</v>
      </c>
      <c r="W139" s="71">
        <v>2</v>
      </c>
      <c r="X139" s="90">
        <v>2</v>
      </c>
      <c r="Y139" s="91"/>
      <c r="Z139" s="72"/>
      <c r="AA139" s="72"/>
      <c r="AB139" s="72"/>
      <c r="AC139" s="72"/>
      <c r="AD139" s="72"/>
      <c r="AE139" s="76"/>
      <c r="AM139" s="12"/>
      <c r="AN139" s="96"/>
      <c r="AO139" s="145"/>
      <c r="AP139" s="145"/>
      <c r="AQ139" s="11"/>
      <c r="AR139" s="11"/>
    </row>
    <row r="140" spans="1:44" s="4" customFormat="1" ht="19.5" thickBot="1">
      <c r="A140" s="88"/>
      <c r="B140" s="89"/>
      <c r="C140" s="79"/>
      <c r="D140" s="80"/>
      <c r="E140" s="80"/>
      <c r="F140" s="81">
        <f>SUM(G140:X140)</f>
        <v>0</v>
      </c>
      <c r="G140" s="79"/>
      <c r="H140" s="80"/>
      <c r="I140" s="80"/>
      <c r="J140" s="79"/>
      <c r="K140" s="79"/>
      <c r="L140" s="80"/>
      <c r="M140" s="80"/>
      <c r="N140" s="80"/>
      <c r="O140" s="80"/>
      <c r="P140" s="80"/>
      <c r="Q140" s="79"/>
      <c r="R140" s="79"/>
      <c r="S140" s="80"/>
      <c r="T140" s="80"/>
      <c r="U140" s="80"/>
      <c r="V140" s="80"/>
      <c r="W140" s="80"/>
      <c r="X140" s="92"/>
      <c r="Y140" s="86"/>
      <c r="Z140" s="87"/>
      <c r="AA140" s="87"/>
      <c r="AB140" s="87"/>
      <c r="AC140" s="87"/>
      <c r="AD140" s="87"/>
      <c r="AE140" s="81">
        <v>18</v>
      </c>
      <c r="AM140" s="12"/>
      <c r="AN140" s="96"/>
      <c r="AO140" s="145"/>
      <c r="AP140" s="145"/>
      <c r="AQ140" s="11"/>
      <c r="AR140" s="11"/>
    </row>
    <row r="141" spans="1:44" s="4" customFormat="1" ht="56.25">
      <c r="A141" s="82">
        <v>17</v>
      </c>
      <c r="B141" s="83" t="s">
        <v>76</v>
      </c>
      <c r="C141" s="64">
        <f t="shared" ref="C141" si="44">SUM(D141:F143)</f>
        <v>90</v>
      </c>
      <c r="D141" s="65">
        <f t="shared" ref="D141" si="45">SUM(G141:X141)</f>
        <v>36</v>
      </c>
      <c r="E141" s="65"/>
      <c r="F141" s="66"/>
      <c r="G141" s="67">
        <v>2</v>
      </c>
      <c r="H141" s="67">
        <v>2</v>
      </c>
      <c r="I141" s="67">
        <v>2</v>
      </c>
      <c r="J141" s="67">
        <v>2</v>
      </c>
      <c r="K141" s="67">
        <v>2</v>
      </c>
      <c r="L141" s="67">
        <v>2</v>
      </c>
      <c r="M141" s="67">
        <v>2</v>
      </c>
      <c r="N141" s="67">
        <v>2</v>
      </c>
      <c r="O141" s="67">
        <v>2</v>
      </c>
      <c r="P141" s="67">
        <v>2</v>
      </c>
      <c r="Q141" s="67">
        <v>2</v>
      </c>
      <c r="R141" s="67">
        <v>2</v>
      </c>
      <c r="S141" s="67">
        <v>2</v>
      </c>
      <c r="T141" s="67">
        <v>2</v>
      </c>
      <c r="U141" s="67">
        <v>2</v>
      </c>
      <c r="V141" s="67">
        <v>2</v>
      </c>
      <c r="W141" s="67">
        <v>2</v>
      </c>
      <c r="X141" s="66">
        <v>2</v>
      </c>
      <c r="Y141" s="64"/>
      <c r="Z141" s="65"/>
      <c r="AA141" s="65"/>
      <c r="AB141" s="65"/>
      <c r="AC141" s="65"/>
      <c r="AD141" s="65"/>
      <c r="AE141" s="66" t="s">
        <v>27</v>
      </c>
      <c r="AM141" s="11"/>
      <c r="AN141" s="11"/>
      <c r="AO141" s="11"/>
      <c r="AP141" s="11"/>
      <c r="AQ141" s="11"/>
      <c r="AR141" s="11"/>
    </row>
    <row r="142" spans="1:44" s="4" customFormat="1">
      <c r="A142" s="84"/>
      <c r="B142" s="85"/>
      <c r="C142" s="71"/>
      <c r="D142" s="72"/>
      <c r="E142" s="72">
        <f t="shared" ref="E142" si="46">SUM(G142:X142)</f>
        <v>54</v>
      </c>
      <c r="F142" s="73"/>
      <c r="G142" s="71">
        <v>2</v>
      </c>
      <c r="H142" s="71">
        <v>4</v>
      </c>
      <c r="I142" s="71">
        <v>2</v>
      </c>
      <c r="J142" s="71">
        <v>4</v>
      </c>
      <c r="K142" s="71">
        <v>2</v>
      </c>
      <c r="L142" s="71">
        <v>4</v>
      </c>
      <c r="M142" s="71">
        <v>2</v>
      </c>
      <c r="N142" s="71">
        <v>4</v>
      </c>
      <c r="O142" s="71">
        <v>2</v>
      </c>
      <c r="P142" s="71">
        <v>4</v>
      </c>
      <c r="Q142" s="71">
        <v>2</v>
      </c>
      <c r="R142" s="71">
        <v>4</v>
      </c>
      <c r="S142" s="71">
        <v>2</v>
      </c>
      <c r="T142" s="71">
        <v>4</v>
      </c>
      <c r="U142" s="71">
        <v>2</v>
      </c>
      <c r="V142" s="71">
        <v>4</v>
      </c>
      <c r="W142" s="71">
        <v>2</v>
      </c>
      <c r="X142" s="90">
        <v>4</v>
      </c>
      <c r="Y142" s="91"/>
      <c r="Z142" s="72"/>
      <c r="AA142" s="72"/>
      <c r="AB142" s="72"/>
      <c r="AC142" s="72"/>
      <c r="AD142" s="72"/>
      <c r="AE142" s="76"/>
      <c r="AM142" s="12"/>
      <c r="AN142" s="96"/>
      <c r="AO142" s="145"/>
      <c r="AP142" s="145"/>
      <c r="AQ142" s="11"/>
      <c r="AR142" s="11"/>
    </row>
    <row r="143" spans="1:44" s="4" customFormat="1" ht="19.5" thickBot="1">
      <c r="A143" s="88"/>
      <c r="B143" s="89"/>
      <c r="C143" s="79"/>
      <c r="D143" s="80"/>
      <c r="E143" s="80"/>
      <c r="F143" s="81">
        <f t="shared" ref="F143" si="47">SUM(G143:X143)</f>
        <v>0</v>
      </c>
      <c r="G143" s="79"/>
      <c r="H143" s="80"/>
      <c r="I143" s="80"/>
      <c r="J143" s="79"/>
      <c r="K143" s="79"/>
      <c r="L143" s="80"/>
      <c r="M143" s="80"/>
      <c r="N143" s="80"/>
      <c r="O143" s="80"/>
      <c r="P143" s="80"/>
      <c r="Q143" s="79"/>
      <c r="R143" s="79"/>
      <c r="S143" s="80"/>
      <c r="T143" s="80"/>
      <c r="U143" s="80"/>
      <c r="V143" s="80"/>
      <c r="W143" s="80"/>
      <c r="X143" s="92"/>
      <c r="Y143" s="86"/>
      <c r="Z143" s="87"/>
      <c r="AA143" s="87"/>
      <c r="AB143" s="87"/>
      <c r="AC143" s="87"/>
      <c r="AD143" s="87"/>
      <c r="AE143" s="81">
        <v>27</v>
      </c>
      <c r="AM143" s="12"/>
      <c r="AN143" s="96"/>
      <c r="AO143" s="145"/>
      <c r="AP143" s="145"/>
      <c r="AQ143" s="11"/>
      <c r="AR143" s="11"/>
    </row>
    <row r="144" spans="1:44" s="4" customFormat="1" ht="56.25">
      <c r="A144" s="82">
        <v>17</v>
      </c>
      <c r="B144" s="83" t="s">
        <v>56</v>
      </c>
      <c r="C144" s="64">
        <f t="shared" ref="C144" si="48">SUM(D144:F146)</f>
        <v>18</v>
      </c>
      <c r="D144" s="65">
        <f t="shared" ref="D144" si="49">SUM(G144:X144)</f>
        <v>0</v>
      </c>
      <c r="E144" s="65"/>
      <c r="F144" s="66"/>
      <c r="G144" s="67"/>
      <c r="H144" s="68"/>
      <c r="I144" s="68"/>
      <c r="J144" s="67"/>
      <c r="K144" s="64"/>
      <c r="L144" s="65"/>
      <c r="M144" s="65"/>
      <c r="N144" s="65"/>
      <c r="O144" s="65"/>
      <c r="P144" s="65"/>
      <c r="Q144" s="64"/>
      <c r="R144" s="64"/>
      <c r="S144" s="65"/>
      <c r="T144" s="65"/>
      <c r="U144" s="65"/>
      <c r="V144" s="65"/>
      <c r="W144" s="65"/>
      <c r="X144" s="66"/>
      <c r="Y144" s="64"/>
      <c r="Z144" s="65"/>
      <c r="AA144" s="65"/>
      <c r="AB144" s="65"/>
      <c r="AC144" s="65"/>
      <c r="AD144" s="65"/>
      <c r="AE144" s="66" t="s">
        <v>15</v>
      </c>
      <c r="AM144" s="11"/>
      <c r="AN144" s="11"/>
      <c r="AO144" s="11"/>
      <c r="AP144" s="11"/>
      <c r="AQ144" s="11"/>
      <c r="AR144" s="11"/>
    </row>
    <row r="145" spans="1:44" s="4" customFormat="1" ht="19.5">
      <c r="A145" s="84"/>
      <c r="B145" s="119" t="s">
        <v>57</v>
      </c>
      <c r="C145" s="71"/>
      <c r="D145" s="72"/>
      <c r="E145" s="72">
        <f t="shared" ref="E145" si="50">SUM(G145:X145)</f>
        <v>18</v>
      </c>
      <c r="F145" s="73"/>
      <c r="G145" s="71">
        <v>2</v>
      </c>
      <c r="H145" s="72"/>
      <c r="I145" s="72">
        <v>2</v>
      </c>
      <c r="J145" s="71"/>
      <c r="K145" s="74">
        <v>2</v>
      </c>
      <c r="L145" s="75"/>
      <c r="M145" s="75">
        <v>2</v>
      </c>
      <c r="N145" s="75"/>
      <c r="O145" s="75">
        <v>2</v>
      </c>
      <c r="P145" s="75"/>
      <c r="Q145" s="71">
        <v>2</v>
      </c>
      <c r="R145" s="71"/>
      <c r="S145" s="72">
        <v>2</v>
      </c>
      <c r="T145" s="72"/>
      <c r="U145" s="72">
        <v>2</v>
      </c>
      <c r="V145" s="72"/>
      <c r="W145" s="72">
        <v>2</v>
      </c>
      <c r="X145" s="73"/>
      <c r="Y145" s="71"/>
      <c r="Z145" s="72"/>
      <c r="AA145" s="72"/>
      <c r="AB145" s="72"/>
      <c r="AC145" s="72"/>
      <c r="AD145" s="72"/>
      <c r="AE145" s="76"/>
      <c r="AM145" s="12"/>
      <c r="AN145" s="96"/>
      <c r="AO145" s="145"/>
      <c r="AP145" s="145"/>
      <c r="AQ145" s="11"/>
      <c r="AR145" s="11"/>
    </row>
    <row r="146" spans="1:44" s="4" customFormat="1" ht="19.5" thickBot="1">
      <c r="A146" s="88"/>
      <c r="B146" s="89"/>
      <c r="C146" s="79"/>
      <c r="D146" s="80"/>
      <c r="E146" s="80"/>
      <c r="F146" s="81">
        <f t="shared" ref="F146" si="51">SUM(G146:X146)</f>
        <v>0</v>
      </c>
      <c r="G146" s="79"/>
      <c r="H146" s="80"/>
      <c r="I146" s="80"/>
      <c r="J146" s="79"/>
      <c r="K146" s="79"/>
      <c r="L146" s="80"/>
      <c r="M146" s="80"/>
      <c r="N146" s="80"/>
      <c r="O146" s="80"/>
      <c r="P146" s="80"/>
      <c r="Q146" s="86"/>
      <c r="R146" s="86"/>
      <c r="S146" s="87"/>
      <c r="T146" s="87"/>
      <c r="U146" s="87"/>
      <c r="V146" s="87"/>
      <c r="W146" s="87"/>
      <c r="X146" s="92"/>
      <c r="Y146" s="86"/>
      <c r="Z146" s="87"/>
      <c r="AA146" s="87"/>
      <c r="AB146" s="87"/>
      <c r="AC146" s="87"/>
      <c r="AD146" s="87"/>
      <c r="AE146" s="81">
        <v>9</v>
      </c>
      <c r="AM146" s="12"/>
      <c r="AN146" s="96"/>
      <c r="AO146" s="145"/>
      <c r="AP146" s="145"/>
      <c r="AQ146" s="11"/>
      <c r="AR146" s="11"/>
    </row>
    <row r="147" spans="1:44" s="4" customFormat="1" ht="112.5">
      <c r="A147" s="82">
        <v>17</v>
      </c>
      <c r="B147" s="83" t="s">
        <v>77</v>
      </c>
      <c r="C147" s="64">
        <f t="shared" ref="C147" si="52">SUM(D147:F149)</f>
        <v>36</v>
      </c>
      <c r="D147" s="65">
        <f t="shared" ref="D147" si="53">SUM(G147:X147)</f>
        <v>0</v>
      </c>
      <c r="E147" s="65"/>
      <c r="F147" s="66"/>
      <c r="G147" s="67"/>
      <c r="H147" s="68"/>
      <c r="I147" s="68"/>
      <c r="J147" s="67"/>
      <c r="K147" s="64"/>
      <c r="L147" s="65"/>
      <c r="M147" s="65"/>
      <c r="N147" s="65"/>
      <c r="O147" s="65"/>
      <c r="P147" s="65"/>
      <c r="Q147" s="64"/>
      <c r="R147" s="64"/>
      <c r="S147" s="65"/>
      <c r="T147" s="65"/>
      <c r="U147" s="65"/>
      <c r="V147" s="65"/>
      <c r="W147" s="65"/>
      <c r="X147" s="66"/>
      <c r="Y147" s="64"/>
      <c r="Z147" s="65"/>
      <c r="AA147" s="65"/>
      <c r="AB147" s="65"/>
      <c r="AC147" s="65"/>
      <c r="AD147" s="65"/>
      <c r="AE147" s="66" t="s">
        <v>15</v>
      </c>
      <c r="AM147" s="11"/>
      <c r="AN147" s="11"/>
      <c r="AO147" s="11"/>
      <c r="AP147" s="11"/>
      <c r="AQ147" s="11"/>
      <c r="AR147" s="11"/>
    </row>
    <row r="148" spans="1:44" s="4" customFormat="1" ht="19.5">
      <c r="A148" s="84"/>
      <c r="B148" s="119" t="s">
        <v>57</v>
      </c>
      <c r="C148" s="71"/>
      <c r="D148" s="72"/>
      <c r="E148" s="72">
        <f t="shared" ref="E148" si="54">SUM(G148:X148)</f>
        <v>36</v>
      </c>
      <c r="F148" s="73"/>
      <c r="G148" s="71">
        <v>2</v>
      </c>
      <c r="H148" s="71">
        <v>2</v>
      </c>
      <c r="I148" s="71">
        <v>2</v>
      </c>
      <c r="J148" s="71">
        <v>2</v>
      </c>
      <c r="K148" s="71">
        <v>2</v>
      </c>
      <c r="L148" s="71">
        <v>2</v>
      </c>
      <c r="M148" s="71">
        <v>2</v>
      </c>
      <c r="N148" s="71">
        <v>2</v>
      </c>
      <c r="O148" s="71">
        <v>2</v>
      </c>
      <c r="P148" s="71">
        <v>2</v>
      </c>
      <c r="Q148" s="71">
        <v>2</v>
      </c>
      <c r="R148" s="71">
        <v>2</v>
      </c>
      <c r="S148" s="71">
        <v>2</v>
      </c>
      <c r="T148" s="71">
        <v>2</v>
      </c>
      <c r="U148" s="71">
        <v>2</v>
      </c>
      <c r="V148" s="71">
        <v>2</v>
      </c>
      <c r="W148" s="71">
        <v>2</v>
      </c>
      <c r="X148" s="73">
        <v>2</v>
      </c>
      <c r="Y148" s="71"/>
      <c r="Z148" s="72"/>
      <c r="AA148" s="72"/>
      <c r="AB148" s="72"/>
      <c r="AC148" s="72"/>
      <c r="AD148" s="72"/>
      <c r="AE148" s="76"/>
      <c r="AM148" s="12"/>
      <c r="AN148" s="96"/>
      <c r="AO148" s="145"/>
      <c r="AP148" s="145"/>
      <c r="AQ148" s="11"/>
      <c r="AR148" s="11"/>
    </row>
    <row r="149" spans="1:44" s="4" customFormat="1" ht="19.5" thickBot="1">
      <c r="A149" s="112"/>
      <c r="B149" s="89"/>
      <c r="C149" s="79"/>
      <c r="D149" s="80"/>
      <c r="E149" s="80"/>
      <c r="F149" s="81">
        <f t="shared" ref="F149" si="55">SUM(G149:X149)</f>
        <v>0</v>
      </c>
      <c r="G149" s="79"/>
      <c r="H149" s="80"/>
      <c r="I149" s="80"/>
      <c r="J149" s="79"/>
      <c r="K149" s="79"/>
      <c r="L149" s="80"/>
      <c r="M149" s="80"/>
      <c r="N149" s="80"/>
      <c r="O149" s="80"/>
      <c r="P149" s="80"/>
      <c r="Q149" s="86"/>
      <c r="R149" s="86"/>
      <c r="S149" s="87"/>
      <c r="T149" s="87"/>
      <c r="U149" s="87"/>
      <c r="V149" s="87"/>
      <c r="W149" s="87"/>
      <c r="X149" s="92"/>
      <c r="Y149" s="86"/>
      <c r="Z149" s="87"/>
      <c r="AA149" s="87"/>
      <c r="AB149" s="87"/>
      <c r="AC149" s="87"/>
      <c r="AD149" s="87"/>
      <c r="AE149" s="81">
        <v>9</v>
      </c>
      <c r="AM149" s="12"/>
      <c r="AN149" s="96"/>
      <c r="AO149" s="145"/>
      <c r="AP149" s="145"/>
      <c r="AQ149" s="11"/>
      <c r="AR149" s="11"/>
    </row>
    <row r="150" spans="1:44" s="4" customFormat="1" ht="49.5" customHeight="1" thickBot="1">
      <c r="A150" s="165" t="s">
        <v>26</v>
      </c>
      <c r="B150" s="165"/>
      <c r="C150" s="165"/>
      <c r="D150" s="165"/>
      <c r="E150" s="165"/>
      <c r="F150" s="165"/>
      <c r="G150" s="165"/>
      <c r="H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5"/>
      <c r="AM150" s="12"/>
      <c r="AN150" s="96"/>
      <c r="AO150" s="106"/>
      <c r="AP150" s="106"/>
      <c r="AQ150" s="11"/>
      <c r="AR150" s="11"/>
    </row>
    <row r="151" spans="1:44" s="4" customFormat="1" ht="29.25" customHeight="1" thickBot="1">
      <c r="A151" s="164" t="s">
        <v>84</v>
      </c>
      <c r="B151" s="164"/>
      <c r="C151" s="164"/>
      <c r="D151" s="164"/>
      <c r="E151" s="164"/>
      <c r="F151" s="164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64"/>
      <c r="R151" s="150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4"/>
    </row>
    <row r="152" spans="1:44" s="4" customFormat="1" ht="19.5">
      <c r="A152" s="120">
        <v>17</v>
      </c>
      <c r="B152" s="121" t="s">
        <v>43</v>
      </c>
      <c r="C152" s="98">
        <f>SUM(D152:F154)</f>
        <v>40</v>
      </c>
      <c r="D152" s="99">
        <f>SUM(K152:Q152)</f>
        <v>20</v>
      </c>
      <c r="E152" s="99"/>
      <c r="F152" s="122"/>
      <c r="G152" s="146"/>
      <c r="H152" s="147"/>
      <c r="I152" s="147"/>
      <c r="J152" s="148"/>
      <c r="K152" s="98">
        <v>4</v>
      </c>
      <c r="L152" s="99">
        <v>2</v>
      </c>
      <c r="M152" s="99">
        <v>4</v>
      </c>
      <c r="N152" s="99">
        <v>2</v>
      </c>
      <c r="O152" s="99">
        <v>4</v>
      </c>
      <c r="P152" s="99">
        <v>2</v>
      </c>
      <c r="Q152" s="100">
        <v>2</v>
      </c>
      <c r="R152" s="155"/>
      <c r="S152" s="98"/>
      <c r="T152" s="99"/>
      <c r="U152" s="99"/>
      <c r="V152" s="99"/>
      <c r="W152" s="99"/>
      <c r="X152" s="99"/>
      <c r="Y152" s="99"/>
      <c r="Z152" s="99"/>
      <c r="AA152" s="99"/>
      <c r="AB152" s="99"/>
      <c r="AC152" s="99"/>
      <c r="AD152" s="99"/>
      <c r="AE152" s="100" t="s">
        <v>15</v>
      </c>
      <c r="AM152" s="11"/>
      <c r="AN152" s="11"/>
      <c r="AO152" s="11"/>
      <c r="AP152" s="11"/>
      <c r="AQ152" s="11"/>
      <c r="AR152" s="11"/>
    </row>
    <row r="153" spans="1:44" s="4" customFormat="1">
      <c r="A153" s="123"/>
      <c r="B153" s="124"/>
      <c r="C153" s="101"/>
      <c r="D153" s="125"/>
      <c r="E153" s="125">
        <f>SUM(K153:Q153)</f>
        <v>18</v>
      </c>
      <c r="F153" s="126"/>
      <c r="G153" s="149"/>
      <c r="H153" s="150"/>
      <c r="I153" s="150"/>
      <c r="J153" s="151"/>
      <c r="K153" s="101">
        <v>2</v>
      </c>
      <c r="L153" s="125">
        <v>4</v>
      </c>
      <c r="M153" s="125">
        <v>2</v>
      </c>
      <c r="N153" s="125">
        <v>4</v>
      </c>
      <c r="O153" s="125">
        <v>2</v>
      </c>
      <c r="P153" s="125">
        <v>4</v>
      </c>
      <c r="Q153" s="127"/>
      <c r="R153" s="156"/>
      <c r="S153" s="101"/>
      <c r="T153" s="125"/>
      <c r="U153" s="125"/>
      <c r="V153" s="125"/>
      <c r="W153" s="125"/>
      <c r="X153" s="125"/>
      <c r="Y153" s="125"/>
      <c r="Z153" s="125"/>
      <c r="AA153" s="125"/>
      <c r="AB153" s="125"/>
      <c r="AC153" s="125"/>
      <c r="AD153" s="125"/>
      <c r="AE153" s="128"/>
      <c r="AM153" s="12"/>
      <c r="AN153" s="96"/>
      <c r="AO153" s="145"/>
      <c r="AP153" s="145"/>
      <c r="AQ153" s="11"/>
      <c r="AR153" s="11"/>
    </row>
    <row r="154" spans="1:44" s="4" customFormat="1" ht="19.5" thickBot="1">
      <c r="A154" s="129"/>
      <c r="B154" s="130"/>
      <c r="C154" s="102"/>
      <c r="D154" s="105"/>
      <c r="E154" s="105"/>
      <c r="F154" s="131">
        <f>SUM(K154:Q154)</f>
        <v>2</v>
      </c>
      <c r="G154" s="152"/>
      <c r="H154" s="153"/>
      <c r="I154" s="153"/>
      <c r="J154" s="154"/>
      <c r="K154" s="132"/>
      <c r="L154" s="133"/>
      <c r="M154" s="133"/>
      <c r="N154" s="133"/>
      <c r="O154" s="133"/>
      <c r="P154" s="133"/>
      <c r="Q154" s="116">
        <v>2</v>
      </c>
      <c r="R154" s="157"/>
      <c r="S154" s="132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4">
        <v>9</v>
      </c>
      <c r="AM154" s="12"/>
      <c r="AN154" s="96"/>
      <c r="AO154" s="145"/>
      <c r="AP154" s="145"/>
      <c r="AQ154" s="11"/>
      <c r="AR154" s="11"/>
    </row>
    <row r="155" spans="1:44" s="4" customFormat="1" ht="37.5" customHeight="1" thickBot="1">
      <c r="A155" s="164" t="s">
        <v>85</v>
      </c>
      <c r="B155" s="164"/>
      <c r="C155" s="164"/>
      <c r="D155" s="164"/>
      <c r="E155" s="164"/>
      <c r="F155" s="164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64"/>
      <c r="R155" s="164"/>
      <c r="S155" s="164"/>
      <c r="T155" s="164"/>
      <c r="U155" s="164"/>
      <c r="V155" s="164"/>
      <c r="W155" s="164"/>
      <c r="X155" s="164"/>
      <c r="Y155" s="164"/>
      <c r="Z155" s="164"/>
      <c r="AA155" s="164"/>
      <c r="AB155" s="164"/>
      <c r="AC155" s="164"/>
      <c r="AD155" s="164"/>
      <c r="AE155" s="164"/>
    </row>
    <row r="156" spans="1:44" s="4" customFormat="1" ht="19.5">
      <c r="A156" s="120">
        <v>17</v>
      </c>
      <c r="B156" s="121" t="s">
        <v>43</v>
      </c>
      <c r="C156" s="98">
        <f t="shared" ref="C156" si="56">SUM(D156:F158)</f>
        <v>40</v>
      </c>
      <c r="D156" s="99">
        <f t="shared" ref="D156" si="57">SUM(G156:H156,M156:Q156)</f>
        <v>20</v>
      </c>
      <c r="E156" s="99"/>
      <c r="F156" s="100"/>
      <c r="G156" s="139">
        <v>4</v>
      </c>
      <c r="H156" s="140">
        <v>2</v>
      </c>
      <c r="I156" s="146"/>
      <c r="J156" s="147"/>
      <c r="K156" s="147"/>
      <c r="L156" s="148"/>
      <c r="M156" s="98">
        <v>4</v>
      </c>
      <c r="N156" s="99">
        <v>2</v>
      </c>
      <c r="O156" s="99">
        <v>4</v>
      </c>
      <c r="P156" s="99">
        <v>2</v>
      </c>
      <c r="Q156" s="100">
        <v>2</v>
      </c>
      <c r="R156" s="98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9"/>
      <c r="AD156" s="99"/>
      <c r="AE156" s="100" t="s">
        <v>15</v>
      </c>
      <c r="AM156" s="11"/>
      <c r="AN156" s="11"/>
      <c r="AO156" s="11"/>
      <c r="AP156" s="11"/>
      <c r="AQ156" s="11"/>
      <c r="AR156" s="11"/>
    </row>
    <row r="157" spans="1:44" s="4" customFormat="1">
      <c r="A157" s="123"/>
      <c r="B157" s="124"/>
      <c r="C157" s="101"/>
      <c r="D157" s="125"/>
      <c r="E157" s="125">
        <f t="shared" ref="E157" si="58">SUM(G157:H157,M157:Q157)</f>
        <v>18</v>
      </c>
      <c r="F157" s="127"/>
      <c r="G157" s="136">
        <v>2</v>
      </c>
      <c r="H157" s="135">
        <v>4</v>
      </c>
      <c r="I157" s="149"/>
      <c r="J157" s="150"/>
      <c r="K157" s="150"/>
      <c r="L157" s="151"/>
      <c r="M157" s="101">
        <v>2</v>
      </c>
      <c r="N157" s="125">
        <v>4</v>
      </c>
      <c r="O157" s="125">
        <v>2</v>
      </c>
      <c r="P157" s="125">
        <v>4</v>
      </c>
      <c r="Q157" s="127"/>
      <c r="R157" s="101"/>
      <c r="S157" s="125"/>
      <c r="T157" s="125"/>
      <c r="U157" s="125"/>
      <c r="V157" s="125"/>
      <c r="W157" s="125"/>
      <c r="X157" s="125"/>
      <c r="Y157" s="125"/>
      <c r="Z157" s="125"/>
      <c r="AA157" s="125"/>
      <c r="AB157" s="125"/>
      <c r="AC157" s="125"/>
      <c r="AD157" s="125"/>
      <c r="AE157" s="128"/>
      <c r="AM157" s="12"/>
      <c r="AN157" s="96"/>
      <c r="AO157" s="145"/>
      <c r="AP157" s="145"/>
      <c r="AQ157" s="11"/>
      <c r="AR157" s="11"/>
    </row>
    <row r="158" spans="1:44" s="4" customFormat="1" ht="19.5" thickBot="1">
      <c r="A158" s="129"/>
      <c r="B158" s="130"/>
      <c r="C158" s="102"/>
      <c r="D158" s="105"/>
      <c r="E158" s="105"/>
      <c r="F158" s="134">
        <f t="shared" ref="F158" si="59">SUM(G158:H158,M158:Q158)</f>
        <v>2</v>
      </c>
      <c r="G158" s="137"/>
      <c r="H158" s="138"/>
      <c r="I158" s="152"/>
      <c r="J158" s="153"/>
      <c r="K158" s="153"/>
      <c r="L158" s="154"/>
      <c r="M158" s="132"/>
      <c r="N158" s="133"/>
      <c r="O158" s="133"/>
      <c r="P158" s="133"/>
      <c r="Q158" s="116">
        <v>2</v>
      </c>
      <c r="R158" s="132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4">
        <v>9</v>
      </c>
      <c r="AM158" s="12"/>
      <c r="AN158" s="96"/>
      <c r="AO158" s="145"/>
      <c r="AP158" s="145"/>
      <c r="AQ158" s="11"/>
      <c r="AR158" s="11"/>
    </row>
    <row r="159" spans="1:44" s="4" customFormat="1" ht="33.75" customHeight="1" thickBot="1">
      <c r="A159" s="164" t="s">
        <v>86</v>
      </c>
      <c r="B159" s="164"/>
      <c r="C159" s="164"/>
      <c r="D159" s="164"/>
      <c r="E159" s="164"/>
      <c r="F159" s="164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64"/>
      <c r="R159" s="164"/>
      <c r="S159" s="164"/>
      <c r="T159" s="164"/>
      <c r="U159" s="164"/>
      <c r="V159" s="164"/>
      <c r="W159" s="164"/>
      <c r="X159" s="164"/>
      <c r="Y159" s="164"/>
      <c r="Z159" s="164"/>
      <c r="AA159" s="164"/>
      <c r="AB159" s="164"/>
      <c r="AC159" s="164"/>
      <c r="AD159" s="164"/>
      <c r="AE159" s="164"/>
    </row>
    <row r="160" spans="1:44" s="4" customFormat="1" ht="19.5">
      <c r="A160" s="120">
        <v>17</v>
      </c>
      <c r="B160" s="121" t="s">
        <v>43</v>
      </c>
      <c r="C160" s="98">
        <f>SUM(D160:F162)</f>
        <v>40</v>
      </c>
      <c r="D160" s="99">
        <f>SUM(G160:J160,O160:Q160)</f>
        <v>20</v>
      </c>
      <c r="E160" s="99"/>
      <c r="F160" s="100"/>
      <c r="G160" s="98">
        <v>4</v>
      </c>
      <c r="H160" s="99">
        <v>2</v>
      </c>
      <c r="I160" s="99">
        <v>4</v>
      </c>
      <c r="J160" s="99">
        <v>2</v>
      </c>
      <c r="K160" s="158"/>
      <c r="L160" s="148"/>
      <c r="M160" s="98">
        <v>4</v>
      </c>
      <c r="N160" s="99">
        <v>2</v>
      </c>
      <c r="O160" s="99">
        <v>4</v>
      </c>
      <c r="P160" s="99">
        <v>2</v>
      </c>
      <c r="Q160" s="100">
        <v>2</v>
      </c>
      <c r="R160" s="98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9"/>
      <c r="AD160" s="99"/>
      <c r="AE160" s="100" t="s">
        <v>15</v>
      </c>
      <c r="AM160" s="11"/>
      <c r="AN160" s="11"/>
      <c r="AO160" s="11"/>
      <c r="AP160" s="11"/>
      <c r="AQ160" s="11"/>
      <c r="AR160" s="11"/>
    </row>
    <row r="161" spans="1:44" s="4" customFormat="1">
      <c r="A161" s="123"/>
      <c r="B161" s="124"/>
      <c r="C161" s="101"/>
      <c r="D161" s="125"/>
      <c r="E161" s="125">
        <f>SUM(G161:J161,O161:Q161)</f>
        <v>18</v>
      </c>
      <c r="F161" s="127"/>
      <c r="G161" s="101">
        <v>2</v>
      </c>
      <c r="H161" s="125">
        <v>4</v>
      </c>
      <c r="I161" s="125">
        <v>2</v>
      </c>
      <c r="J161" s="125">
        <v>4</v>
      </c>
      <c r="K161" s="159"/>
      <c r="L161" s="151"/>
      <c r="M161" s="101">
        <v>2</v>
      </c>
      <c r="N161" s="125">
        <v>4</v>
      </c>
      <c r="O161" s="125">
        <v>2</v>
      </c>
      <c r="P161" s="125">
        <v>4</v>
      </c>
      <c r="Q161" s="127"/>
      <c r="R161" s="101"/>
      <c r="S161" s="125"/>
      <c r="T161" s="125"/>
      <c r="U161" s="125"/>
      <c r="V161" s="125"/>
      <c r="W161" s="125"/>
      <c r="X161" s="125"/>
      <c r="Y161" s="125"/>
      <c r="Z161" s="125"/>
      <c r="AA161" s="125"/>
      <c r="AB161" s="125"/>
      <c r="AC161" s="125"/>
      <c r="AD161" s="125"/>
      <c r="AE161" s="128"/>
      <c r="AM161" s="12"/>
      <c r="AN161" s="96"/>
      <c r="AO161" s="145"/>
      <c r="AP161" s="145"/>
      <c r="AQ161" s="11"/>
      <c r="AR161" s="11"/>
    </row>
    <row r="162" spans="1:44" s="4" customFormat="1" ht="19.5" thickBot="1">
      <c r="A162" s="129"/>
      <c r="B162" s="130"/>
      <c r="C162" s="102"/>
      <c r="D162" s="105"/>
      <c r="E162" s="105"/>
      <c r="F162" s="134">
        <f>SUM(G162:J162,O162:Q162)</f>
        <v>2</v>
      </c>
      <c r="G162" s="132"/>
      <c r="H162" s="133"/>
      <c r="I162" s="133"/>
      <c r="J162" s="133"/>
      <c r="K162" s="160"/>
      <c r="L162" s="154"/>
      <c r="M162" s="132"/>
      <c r="N162" s="133"/>
      <c r="O162" s="133"/>
      <c r="P162" s="133"/>
      <c r="Q162" s="116">
        <v>2</v>
      </c>
      <c r="R162" s="132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4">
        <v>9</v>
      </c>
      <c r="AM162" s="12"/>
      <c r="AN162" s="96"/>
      <c r="AO162" s="145"/>
      <c r="AP162" s="145"/>
      <c r="AQ162" s="11"/>
      <c r="AR162" s="11"/>
    </row>
    <row r="163" spans="1:44" s="4" customFormat="1" ht="19.5" thickBot="1">
      <c r="A163" s="164" t="s">
        <v>93</v>
      </c>
      <c r="B163" s="164"/>
      <c r="C163" s="164"/>
      <c r="D163" s="164"/>
      <c r="E163" s="164"/>
      <c r="F163" s="164"/>
      <c r="G163" s="164"/>
      <c r="H163" s="164"/>
      <c r="I163" s="164"/>
      <c r="J163" s="164"/>
      <c r="K163" s="150"/>
      <c r="L163" s="150"/>
      <c r="M163" s="150"/>
      <c r="N163" s="150"/>
      <c r="O163" s="150"/>
      <c r="P163" s="150"/>
      <c r="Q163" s="164"/>
      <c r="R163" s="164"/>
      <c r="S163" s="164"/>
      <c r="T163" s="164"/>
      <c r="U163" s="164"/>
      <c r="V163" s="164"/>
      <c r="W163" s="164"/>
      <c r="X163" s="164"/>
      <c r="Y163" s="164"/>
      <c r="Z163" s="164"/>
      <c r="AA163" s="164"/>
      <c r="AB163" s="164"/>
      <c r="AC163" s="164"/>
      <c r="AD163" s="164"/>
      <c r="AE163" s="164"/>
      <c r="AM163" s="12"/>
      <c r="AN163" s="96"/>
      <c r="AO163" s="144"/>
      <c r="AP163" s="144"/>
      <c r="AQ163" s="11"/>
      <c r="AR163" s="11"/>
    </row>
    <row r="164" spans="1:44" ht="37.5">
      <c r="A164" s="82">
        <v>17</v>
      </c>
      <c r="B164" s="83" t="s">
        <v>36</v>
      </c>
      <c r="C164" s="64">
        <f t="shared" ref="C164" si="60">SUM(D164:F166)</f>
        <v>36</v>
      </c>
      <c r="D164" s="65">
        <f t="shared" ref="D164" si="61">SUM(G164:AD164)</f>
        <v>18</v>
      </c>
      <c r="E164" s="65"/>
      <c r="F164" s="66"/>
      <c r="G164" s="67">
        <v>2</v>
      </c>
      <c r="H164" s="67"/>
      <c r="I164" s="67">
        <v>2</v>
      </c>
      <c r="J164" s="67"/>
      <c r="K164" s="67">
        <v>2</v>
      </c>
      <c r="L164" s="67"/>
      <c r="M164" s="67">
        <v>2</v>
      </c>
      <c r="N164" s="67"/>
      <c r="O164" s="67">
        <v>2</v>
      </c>
      <c r="P164" s="67"/>
      <c r="Q164" s="67">
        <v>2</v>
      </c>
      <c r="R164" s="67"/>
      <c r="S164" s="67">
        <v>2</v>
      </c>
      <c r="T164" s="67"/>
      <c r="U164" s="67">
        <v>2</v>
      </c>
      <c r="V164" s="67"/>
      <c r="W164" s="67">
        <v>2</v>
      </c>
      <c r="X164" s="67"/>
      <c r="Y164" s="64"/>
      <c r="Z164" s="65"/>
      <c r="AA164" s="65"/>
      <c r="AB164" s="65"/>
      <c r="AC164" s="65"/>
      <c r="AD164" s="65"/>
      <c r="AE164" s="66" t="s">
        <v>19</v>
      </c>
    </row>
    <row r="165" spans="1:44">
      <c r="A165" s="84"/>
      <c r="B165" s="85"/>
      <c r="C165" s="71"/>
      <c r="D165" s="72"/>
      <c r="E165" s="72">
        <f t="shared" ref="E165" si="62">SUM(G165:AD165)</f>
        <v>18</v>
      </c>
      <c r="F165" s="73"/>
      <c r="G165" s="71"/>
      <c r="H165" s="71">
        <v>2</v>
      </c>
      <c r="I165" s="71"/>
      <c r="J165" s="71">
        <v>2</v>
      </c>
      <c r="K165" s="71"/>
      <c r="L165" s="71">
        <v>2</v>
      </c>
      <c r="M165" s="71"/>
      <c r="N165" s="71">
        <v>2</v>
      </c>
      <c r="O165" s="71"/>
      <c r="P165" s="71">
        <v>2</v>
      </c>
      <c r="Q165" s="71"/>
      <c r="R165" s="71">
        <v>2</v>
      </c>
      <c r="S165" s="71"/>
      <c r="T165" s="71">
        <v>2</v>
      </c>
      <c r="U165" s="71"/>
      <c r="V165" s="71">
        <v>2</v>
      </c>
      <c r="W165" s="71"/>
      <c r="X165" s="72">
        <v>2</v>
      </c>
      <c r="Y165" s="71"/>
      <c r="Z165" s="72"/>
      <c r="AA165" s="72"/>
      <c r="AB165" s="72"/>
      <c r="AC165" s="72"/>
      <c r="AD165" s="72"/>
      <c r="AE165" s="76"/>
    </row>
    <row r="166" spans="1:44" ht="19.5" thickBot="1">
      <c r="A166" s="88"/>
      <c r="B166" s="89"/>
      <c r="C166" s="79"/>
      <c r="D166" s="80"/>
      <c r="E166" s="80"/>
      <c r="F166" s="81">
        <f t="shared" ref="F166" si="63">SUM(G166:AD166)</f>
        <v>0</v>
      </c>
      <c r="G166" s="79"/>
      <c r="H166" s="80"/>
      <c r="I166" s="80"/>
      <c r="J166" s="79"/>
      <c r="K166" s="79"/>
      <c r="L166" s="80"/>
      <c r="M166" s="80"/>
      <c r="N166" s="80"/>
      <c r="O166" s="80"/>
      <c r="P166" s="80"/>
      <c r="Q166" s="79"/>
      <c r="R166" s="79"/>
      <c r="S166" s="80"/>
      <c r="T166" s="80"/>
      <c r="U166" s="80"/>
      <c r="V166" s="80"/>
      <c r="W166" s="80"/>
      <c r="X166" s="80"/>
      <c r="Y166" s="79"/>
      <c r="Z166" s="80"/>
      <c r="AA166" s="80"/>
      <c r="AB166" s="80"/>
      <c r="AC166" s="80"/>
      <c r="AD166" s="80"/>
      <c r="AE166" s="81">
        <v>9</v>
      </c>
    </row>
    <row r="167" spans="1:44" ht="37.5">
      <c r="A167" s="82">
        <v>17</v>
      </c>
      <c r="B167" s="83" t="s">
        <v>92</v>
      </c>
      <c r="C167" s="64">
        <f t="shared" ref="C167" si="64">SUM(D167:F169)</f>
        <v>54</v>
      </c>
      <c r="D167" s="65">
        <f t="shared" ref="D167" si="65">SUM(G167:AD167)</f>
        <v>18</v>
      </c>
      <c r="E167" s="65"/>
      <c r="F167" s="66"/>
      <c r="G167" s="67">
        <v>2</v>
      </c>
      <c r="H167" s="67"/>
      <c r="I167" s="67">
        <v>2</v>
      </c>
      <c r="J167" s="67"/>
      <c r="K167" s="67">
        <v>2</v>
      </c>
      <c r="L167" s="67"/>
      <c r="M167" s="67">
        <v>2</v>
      </c>
      <c r="N167" s="67"/>
      <c r="O167" s="67">
        <v>2</v>
      </c>
      <c r="P167" s="67"/>
      <c r="Q167" s="67">
        <v>2</v>
      </c>
      <c r="R167" s="67"/>
      <c r="S167" s="67">
        <v>2</v>
      </c>
      <c r="T167" s="67"/>
      <c r="U167" s="67">
        <v>2</v>
      </c>
      <c r="V167" s="67"/>
      <c r="W167" s="67">
        <v>2</v>
      </c>
      <c r="X167" s="67"/>
      <c r="Y167" s="64"/>
      <c r="Z167" s="65"/>
      <c r="AA167" s="65"/>
      <c r="AB167" s="65"/>
      <c r="AC167" s="65"/>
      <c r="AD167" s="65"/>
      <c r="AE167" s="66" t="s">
        <v>89</v>
      </c>
    </row>
    <row r="168" spans="1:44">
      <c r="A168" s="84"/>
      <c r="B168" s="85"/>
      <c r="C168" s="71"/>
      <c r="D168" s="72"/>
      <c r="E168" s="72">
        <f t="shared" ref="E168" si="66">SUM(G168:AD168)</f>
        <v>36</v>
      </c>
      <c r="F168" s="73"/>
      <c r="G168" s="71">
        <v>2</v>
      </c>
      <c r="H168" s="71">
        <v>2</v>
      </c>
      <c r="I168" s="71">
        <v>2</v>
      </c>
      <c r="J168" s="71">
        <v>2</v>
      </c>
      <c r="K168" s="71">
        <v>2</v>
      </c>
      <c r="L168" s="71">
        <v>2</v>
      </c>
      <c r="M168" s="71">
        <v>2</v>
      </c>
      <c r="N168" s="71">
        <v>2</v>
      </c>
      <c r="O168" s="71">
        <v>2</v>
      </c>
      <c r="P168" s="71">
        <v>2</v>
      </c>
      <c r="Q168" s="71">
        <v>2</v>
      </c>
      <c r="R168" s="71">
        <v>2</v>
      </c>
      <c r="S168" s="71">
        <v>2</v>
      </c>
      <c r="T168" s="71">
        <v>2</v>
      </c>
      <c r="U168" s="71">
        <v>2</v>
      </c>
      <c r="V168" s="71">
        <v>2</v>
      </c>
      <c r="W168" s="71">
        <v>2</v>
      </c>
      <c r="X168" s="71">
        <v>2</v>
      </c>
      <c r="Y168" s="71"/>
      <c r="Z168" s="72"/>
      <c r="AA168" s="72"/>
      <c r="AB168" s="72"/>
      <c r="AC168" s="72"/>
      <c r="AD168" s="72"/>
      <c r="AE168" s="76" t="s">
        <v>47</v>
      </c>
    </row>
    <row r="169" spans="1:44" ht="19.5" thickBot="1">
      <c r="A169" s="88"/>
      <c r="B169" s="89"/>
      <c r="C169" s="79"/>
      <c r="D169" s="80"/>
      <c r="E169" s="80"/>
      <c r="F169" s="81">
        <f t="shared" ref="F169" si="67">SUM(G169:AD169)</f>
        <v>0</v>
      </c>
      <c r="G169" s="79"/>
      <c r="H169" s="80"/>
      <c r="I169" s="80"/>
      <c r="J169" s="79"/>
      <c r="K169" s="86"/>
      <c r="L169" s="87"/>
      <c r="M169" s="87"/>
      <c r="N169" s="87"/>
      <c r="O169" s="87"/>
      <c r="P169" s="87"/>
      <c r="Q169" s="86"/>
      <c r="R169" s="86"/>
      <c r="S169" s="87"/>
      <c r="T169" s="87"/>
      <c r="U169" s="87"/>
      <c r="V169" s="87"/>
      <c r="W169" s="87"/>
      <c r="X169" s="87"/>
      <c r="Y169" s="86"/>
      <c r="Z169" s="87"/>
      <c r="AA169" s="87"/>
      <c r="AB169" s="87"/>
      <c r="AC169" s="87"/>
      <c r="AD169" s="87"/>
      <c r="AE169" s="81">
        <v>36</v>
      </c>
    </row>
    <row r="170" spans="1:44" ht="19.5" thickBot="1">
      <c r="A170" s="161" t="s">
        <v>80</v>
      </c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3"/>
    </row>
    <row r="171" spans="1:44" s="4" customFormat="1" ht="37.5">
      <c r="A171" s="62">
        <v>17</v>
      </c>
      <c r="B171" s="63" t="s">
        <v>79</v>
      </c>
      <c r="C171" s="64">
        <f>SUM(D171:F173)</f>
        <v>72</v>
      </c>
      <c r="D171" s="65">
        <f>SUM(G171:AD171)</f>
        <v>36</v>
      </c>
      <c r="E171" s="65"/>
      <c r="F171" s="66"/>
      <c r="G171" s="67">
        <v>4</v>
      </c>
      <c r="H171" s="67">
        <v>4</v>
      </c>
      <c r="I171" s="67">
        <v>4</v>
      </c>
      <c r="J171" s="67">
        <v>4</v>
      </c>
      <c r="K171" s="67">
        <v>4</v>
      </c>
      <c r="L171" s="67">
        <v>4</v>
      </c>
      <c r="M171" s="67">
        <v>4</v>
      </c>
      <c r="N171" s="67">
        <v>4</v>
      </c>
      <c r="O171" s="67">
        <v>4</v>
      </c>
      <c r="P171" s="65"/>
      <c r="Q171" s="64"/>
      <c r="R171" s="64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6" t="s">
        <v>27</v>
      </c>
    </row>
    <row r="172" spans="1:44" s="4" customFormat="1" ht="19.5">
      <c r="A172" s="69"/>
      <c r="B172" s="70"/>
      <c r="C172" s="71"/>
      <c r="D172" s="72"/>
      <c r="E172" s="72">
        <f>SUM(G172:AD172)</f>
        <v>36</v>
      </c>
      <c r="F172" s="73"/>
      <c r="G172" s="71">
        <v>4</v>
      </c>
      <c r="H172" s="71">
        <v>4</v>
      </c>
      <c r="I172" s="71">
        <v>4</v>
      </c>
      <c r="J172" s="71">
        <v>4</v>
      </c>
      <c r="K172" s="71">
        <v>4</v>
      </c>
      <c r="L172" s="71">
        <v>4</v>
      </c>
      <c r="M172" s="71">
        <v>4</v>
      </c>
      <c r="N172" s="71">
        <v>4</v>
      </c>
      <c r="O172" s="71">
        <v>4</v>
      </c>
      <c r="P172" s="75"/>
      <c r="Q172" s="71"/>
      <c r="R172" s="71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6" t="s">
        <v>47</v>
      </c>
    </row>
    <row r="173" spans="1:44" s="4" customFormat="1" ht="21.75" customHeight="1" thickBot="1">
      <c r="A173" s="77"/>
      <c r="B173" s="78"/>
      <c r="C173" s="79"/>
      <c r="D173" s="80"/>
      <c r="E173" s="80"/>
      <c r="F173" s="81">
        <f>SUM(G173:AD173)</f>
        <v>0</v>
      </c>
      <c r="G173" s="79"/>
      <c r="H173" s="80"/>
      <c r="I173" s="80"/>
      <c r="J173" s="79"/>
      <c r="K173" s="79"/>
      <c r="L173" s="80"/>
      <c r="M173" s="80"/>
      <c r="N173" s="80"/>
      <c r="O173" s="80"/>
      <c r="P173" s="80"/>
      <c r="Q173" s="79"/>
      <c r="R173" s="79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1">
        <v>36</v>
      </c>
      <c r="AM173" s="11"/>
      <c r="AN173" s="11"/>
      <c r="AO173" s="11"/>
      <c r="AP173" s="11"/>
      <c r="AQ173" s="11"/>
      <c r="AR173" s="11"/>
    </row>
    <row r="174" spans="1:44" ht="19.5" thickBot="1">
      <c r="A174" s="161" t="s">
        <v>30</v>
      </c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3"/>
    </row>
    <row r="175" spans="1:44" s="4" customFormat="1" ht="56.25">
      <c r="A175" s="82">
        <v>17</v>
      </c>
      <c r="B175" s="83" t="s">
        <v>81</v>
      </c>
      <c r="C175" s="64">
        <f t="shared" ref="C175" si="68">SUM(D175:F177)</f>
        <v>36</v>
      </c>
      <c r="D175" s="65">
        <f t="shared" ref="D175" si="69">SUM(G175:AD175)</f>
        <v>18</v>
      </c>
      <c r="E175" s="65"/>
      <c r="F175" s="66"/>
      <c r="G175" s="67">
        <v>2</v>
      </c>
      <c r="H175" s="68"/>
      <c r="I175" s="68">
        <v>2</v>
      </c>
      <c r="J175" s="67"/>
      <c r="K175" s="64">
        <v>2</v>
      </c>
      <c r="L175" s="65"/>
      <c r="M175" s="65">
        <v>2</v>
      </c>
      <c r="N175" s="65"/>
      <c r="O175" s="65">
        <v>2</v>
      </c>
      <c r="P175" s="65"/>
      <c r="Q175" s="64">
        <v>2</v>
      </c>
      <c r="R175" s="64"/>
      <c r="S175" s="65">
        <v>2</v>
      </c>
      <c r="T175" s="65"/>
      <c r="U175" s="65">
        <v>2</v>
      </c>
      <c r="V175" s="65"/>
      <c r="W175" s="65">
        <v>2</v>
      </c>
      <c r="X175" s="65"/>
      <c r="Y175" s="65"/>
      <c r="Z175" s="65"/>
      <c r="AA175" s="65"/>
      <c r="AB175" s="65"/>
      <c r="AC175" s="65"/>
      <c r="AD175" s="65"/>
      <c r="AE175" s="66" t="s">
        <v>27</v>
      </c>
      <c r="AM175" s="11"/>
      <c r="AN175" s="11"/>
      <c r="AO175" s="11"/>
      <c r="AP175" s="11"/>
      <c r="AQ175" s="11"/>
      <c r="AR175" s="11"/>
    </row>
    <row r="176" spans="1:44" s="4" customFormat="1">
      <c r="A176" s="84"/>
      <c r="B176" s="85"/>
      <c r="C176" s="71"/>
      <c r="D176" s="72"/>
      <c r="E176" s="72">
        <f t="shared" ref="E176" si="70">SUM(G176:AD176)</f>
        <v>18</v>
      </c>
      <c r="F176" s="73"/>
      <c r="G176" s="71"/>
      <c r="H176" s="72">
        <v>2</v>
      </c>
      <c r="I176" s="72"/>
      <c r="J176" s="71">
        <v>2</v>
      </c>
      <c r="K176" s="74"/>
      <c r="L176" s="75">
        <v>2</v>
      </c>
      <c r="M176" s="75"/>
      <c r="N176" s="75">
        <v>2</v>
      </c>
      <c r="O176" s="75"/>
      <c r="P176" s="75">
        <v>2</v>
      </c>
      <c r="Q176" s="71"/>
      <c r="R176" s="71">
        <v>2</v>
      </c>
      <c r="S176" s="72"/>
      <c r="T176" s="72">
        <v>2</v>
      </c>
      <c r="U176" s="72"/>
      <c r="V176" s="72">
        <v>2</v>
      </c>
      <c r="W176" s="72"/>
      <c r="X176" s="72">
        <v>2</v>
      </c>
      <c r="Y176" s="72"/>
      <c r="Z176" s="72"/>
      <c r="AA176" s="72"/>
      <c r="AB176" s="72"/>
      <c r="AC176" s="72"/>
      <c r="AD176" s="72"/>
      <c r="AE176" s="76"/>
      <c r="AM176" s="12"/>
      <c r="AN176" s="96"/>
      <c r="AO176" s="145"/>
      <c r="AP176" s="145"/>
      <c r="AQ176" s="11"/>
      <c r="AR176" s="11"/>
    </row>
    <row r="177" spans="1:44" s="4" customFormat="1" ht="19.5" thickBot="1">
      <c r="A177" s="88"/>
      <c r="B177" s="89"/>
      <c r="C177" s="79"/>
      <c r="D177" s="80"/>
      <c r="E177" s="80"/>
      <c r="F177" s="81">
        <f t="shared" ref="F177" si="71">SUM(G177:AD177)</f>
        <v>0</v>
      </c>
      <c r="G177" s="79"/>
      <c r="H177" s="80"/>
      <c r="I177" s="80"/>
      <c r="J177" s="79"/>
      <c r="K177" s="87"/>
      <c r="L177" s="87"/>
      <c r="M177" s="87"/>
      <c r="N177" s="87"/>
      <c r="O177" s="87"/>
      <c r="P177" s="87"/>
      <c r="Q177" s="86"/>
      <c r="R177" s="79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1">
        <v>36</v>
      </c>
      <c r="AM177" s="12"/>
      <c r="AN177" s="96"/>
      <c r="AO177" s="145"/>
      <c r="AP177" s="145"/>
      <c r="AQ177" s="11"/>
      <c r="AR177" s="11"/>
    </row>
    <row r="178" spans="1:44" ht="19.5" thickBot="1">
      <c r="A178" s="161" t="s">
        <v>83</v>
      </c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3"/>
    </row>
    <row r="179" spans="1:44" s="4" customFormat="1" ht="93.75">
      <c r="A179" s="82">
        <v>17</v>
      </c>
      <c r="B179" s="83" t="s">
        <v>82</v>
      </c>
      <c r="C179" s="64">
        <f>SUM(D179:F181)</f>
        <v>60</v>
      </c>
      <c r="D179" s="65">
        <f>SUM(G179:X179)</f>
        <v>30</v>
      </c>
      <c r="E179" s="65"/>
      <c r="F179" s="66"/>
      <c r="G179" s="67">
        <v>4</v>
      </c>
      <c r="H179" s="68">
        <v>2</v>
      </c>
      <c r="I179" s="68">
        <v>4</v>
      </c>
      <c r="J179" s="67">
        <v>2</v>
      </c>
      <c r="K179" s="64">
        <v>4</v>
      </c>
      <c r="L179" s="65">
        <v>2</v>
      </c>
      <c r="M179" s="65">
        <v>4</v>
      </c>
      <c r="N179" s="65">
        <v>2</v>
      </c>
      <c r="O179" s="65">
        <v>4</v>
      </c>
      <c r="P179" s="65">
        <v>2</v>
      </c>
      <c r="Q179" s="64"/>
      <c r="R179" s="64"/>
      <c r="S179" s="65"/>
      <c r="T179" s="65"/>
      <c r="U179" s="65"/>
      <c r="V179" s="65"/>
      <c r="W179" s="65"/>
      <c r="X179" s="65"/>
      <c r="Y179" s="64"/>
      <c r="Z179" s="65"/>
      <c r="AA179" s="65"/>
      <c r="AB179" s="65"/>
      <c r="AC179" s="65"/>
      <c r="AD179" s="65"/>
      <c r="AE179" s="66" t="s">
        <v>19</v>
      </c>
      <c r="AM179" s="11"/>
      <c r="AN179" s="11"/>
      <c r="AO179" s="11"/>
      <c r="AP179" s="11"/>
      <c r="AQ179" s="11"/>
      <c r="AR179" s="11"/>
    </row>
    <row r="180" spans="1:44" s="4" customFormat="1">
      <c r="A180" s="84"/>
      <c r="B180" s="85"/>
      <c r="C180" s="71"/>
      <c r="D180" s="72"/>
      <c r="E180" s="72">
        <f>SUM(G180:X180)</f>
        <v>30</v>
      </c>
      <c r="F180" s="73"/>
      <c r="G180" s="71">
        <v>2</v>
      </c>
      <c r="H180" s="71">
        <v>4</v>
      </c>
      <c r="I180" s="71">
        <v>2</v>
      </c>
      <c r="J180" s="71">
        <v>4</v>
      </c>
      <c r="K180" s="71">
        <v>2</v>
      </c>
      <c r="L180" s="71">
        <v>4</v>
      </c>
      <c r="M180" s="71">
        <v>2</v>
      </c>
      <c r="N180" s="71">
        <v>4</v>
      </c>
      <c r="O180" s="71">
        <v>2</v>
      </c>
      <c r="P180" s="71">
        <v>4</v>
      </c>
      <c r="Q180" s="71"/>
      <c r="R180" s="71"/>
      <c r="S180" s="71"/>
      <c r="T180" s="71"/>
      <c r="U180" s="71"/>
      <c r="V180" s="71"/>
      <c r="W180" s="71"/>
      <c r="X180" s="72"/>
      <c r="Y180" s="71"/>
      <c r="Z180" s="72"/>
      <c r="AA180" s="72"/>
      <c r="AB180" s="72"/>
      <c r="AC180" s="72"/>
      <c r="AD180" s="72"/>
      <c r="AE180" s="76"/>
      <c r="AM180" s="12"/>
      <c r="AN180" s="96"/>
      <c r="AO180" s="145"/>
      <c r="AP180" s="145"/>
      <c r="AQ180" s="11"/>
      <c r="AR180" s="11"/>
    </row>
    <row r="181" spans="1:44" s="4" customFormat="1" ht="19.5" thickBot="1">
      <c r="A181" s="88"/>
      <c r="B181" s="89"/>
      <c r="C181" s="79"/>
      <c r="D181" s="80"/>
      <c r="E181" s="80"/>
      <c r="F181" s="81">
        <f>SUM(G181:X181)</f>
        <v>0</v>
      </c>
      <c r="G181" s="79"/>
      <c r="H181" s="80"/>
      <c r="I181" s="80"/>
      <c r="J181" s="79"/>
      <c r="K181" s="79"/>
      <c r="L181" s="80"/>
      <c r="M181" s="80"/>
      <c r="N181" s="80"/>
      <c r="O181" s="80"/>
      <c r="P181" s="80"/>
      <c r="Q181" s="79"/>
      <c r="R181" s="79"/>
      <c r="S181" s="80"/>
      <c r="T181" s="80"/>
      <c r="U181" s="80"/>
      <c r="V181" s="80"/>
      <c r="W181" s="80"/>
      <c r="X181" s="87"/>
      <c r="Y181" s="86"/>
      <c r="Z181" s="87"/>
      <c r="AA181" s="87"/>
      <c r="AB181" s="87"/>
      <c r="AC181" s="87"/>
      <c r="AD181" s="87"/>
      <c r="AE181" s="81">
        <v>18</v>
      </c>
      <c r="AM181" s="12"/>
      <c r="AN181" s="96"/>
      <c r="AO181" s="145"/>
      <c r="AP181" s="145"/>
      <c r="AQ181" s="11"/>
      <c r="AR181" s="11"/>
    </row>
    <row r="182" spans="1:44" s="4" customFormat="1" ht="49.5" customHeight="1" thickBot="1">
      <c r="A182" s="165" t="s">
        <v>88</v>
      </c>
      <c r="B182" s="165"/>
      <c r="C182" s="165"/>
      <c r="D182" s="165"/>
      <c r="E182" s="165"/>
      <c r="F182" s="165"/>
      <c r="G182" s="165"/>
      <c r="H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5"/>
      <c r="Y182" s="165"/>
      <c r="Z182" s="165"/>
      <c r="AA182" s="165"/>
      <c r="AB182" s="165"/>
      <c r="AC182" s="165"/>
      <c r="AD182" s="165"/>
      <c r="AE182" s="165"/>
      <c r="AM182" s="12"/>
      <c r="AN182" s="96"/>
      <c r="AO182" s="141"/>
      <c r="AP182" s="141"/>
      <c r="AQ182" s="11"/>
      <c r="AR182" s="11"/>
    </row>
    <row r="183" spans="1:44" s="4" customFormat="1" ht="27.75" customHeight="1" thickBot="1">
      <c r="A183" s="164" t="s">
        <v>87</v>
      </c>
      <c r="B183" s="164"/>
      <c r="C183" s="164"/>
      <c r="D183" s="164"/>
      <c r="E183" s="164"/>
      <c r="F183" s="164"/>
      <c r="G183" s="164"/>
      <c r="H183" s="164"/>
      <c r="I183" s="164"/>
      <c r="J183" s="164"/>
      <c r="K183" s="150"/>
      <c r="L183" s="150"/>
      <c r="M183" s="150"/>
      <c r="N183" s="150"/>
      <c r="O183" s="150"/>
      <c r="P183" s="150"/>
      <c r="Q183" s="164"/>
      <c r="R183" s="164"/>
      <c r="S183" s="164"/>
      <c r="T183" s="164"/>
      <c r="U183" s="164"/>
      <c r="V183" s="164"/>
      <c r="W183" s="164"/>
      <c r="X183" s="164"/>
      <c r="Y183" s="164"/>
      <c r="Z183" s="164"/>
      <c r="AA183" s="164"/>
      <c r="AB183" s="164"/>
      <c r="AC183" s="164"/>
      <c r="AD183" s="164"/>
      <c r="AE183" s="164"/>
    </row>
    <row r="184" spans="1:44" s="4" customFormat="1" ht="19.5">
      <c r="A184" s="120">
        <v>17</v>
      </c>
      <c r="B184" s="121" t="s">
        <v>43</v>
      </c>
      <c r="C184" s="98">
        <f>SUM(D184:F186)</f>
        <v>60</v>
      </c>
      <c r="D184" s="99">
        <f>SUM(G184:P184)</f>
        <v>30</v>
      </c>
      <c r="E184" s="99"/>
      <c r="F184" s="100"/>
      <c r="G184" s="114">
        <v>4</v>
      </c>
      <c r="H184" s="118">
        <v>2</v>
      </c>
      <c r="I184" s="118">
        <v>4</v>
      </c>
      <c r="J184" s="114">
        <v>2</v>
      </c>
      <c r="K184" s="98">
        <v>4</v>
      </c>
      <c r="L184" s="99">
        <v>2</v>
      </c>
      <c r="M184" s="99">
        <v>4</v>
      </c>
      <c r="N184" s="99">
        <v>2</v>
      </c>
      <c r="O184" s="99">
        <v>4</v>
      </c>
      <c r="P184" s="100">
        <v>2</v>
      </c>
      <c r="Q184" s="98"/>
      <c r="R184" s="98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100" t="s">
        <v>27</v>
      </c>
      <c r="AM184" s="11"/>
      <c r="AN184" s="11"/>
      <c r="AO184" s="11"/>
      <c r="AP184" s="11"/>
      <c r="AQ184" s="11"/>
      <c r="AR184" s="11"/>
    </row>
    <row r="185" spans="1:44" s="4" customFormat="1">
      <c r="A185" s="123"/>
      <c r="B185" s="124"/>
      <c r="C185" s="101"/>
      <c r="D185" s="125"/>
      <c r="E185" s="125">
        <f>SUM(G185:P185)</f>
        <v>30</v>
      </c>
      <c r="F185" s="127"/>
      <c r="G185" s="143">
        <v>2</v>
      </c>
      <c r="H185" s="125">
        <v>4</v>
      </c>
      <c r="I185" s="101">
        <v>2</v>
      </c>
      <c r="J185" s="125">
        <v>4</v>
      </c>
      <c r="K185" s="101">
        <v>2</v>
      </c>
      <c r="L185" s="125">
        <v>4</v>
      </c>
      <c r="M185" s="125">
        <v>2</v>
      </c>
      <c r="N185" s="125">
        <v>4</v>
      </c>
      <c r="O185" s="125">
        <v>2</v>
      </c>
      <c r="P185" s="127">
        <v>4</v>
      </c>
      <c r="Q185" s="101"/>
      <c r="R185" s="101"/>
      <c r="S185" s="125"/>
      <c r="T185" s="125"/>
      <c r="U185" s="125"/>
      <c r="V185" s="125"/>
      <c r="W185" s="125"/>
      <c r="X185" s="125"/>
      <c r="Y185" s="125"/>
      <c r="Z185" s="125"/>
      <c r="AA185" s="125"/>
      <c r="AB185" s="125"/>
      <c r="AC185" s="125"/>
      <c r="AD185" s="125"/>
      <c r="AE185" s="128"/>
      <c r="AM185" s="12"/>
      <c r="AN185" s="96"/>
      <c r="AO185" s="145"/>
      <c r="AP185" s="145"/>
      <c r="AQ185" s="11"/>
      <c r="AR185" s="11"/>
    </row>
    <row r="186" spans="1:44" s="4" customFormat="1" ht="19.5" thickBot="1">
      <c r="A186" s="129"/>
      <c r="B186" s="130"/>
      <c r="C186" s="102"/>
      <c r="D186" s="105"/>
      <c r="E186" s="105"/>
      <c r="F186" s="134">
        <f>SUM(G186:P186)</f>
        <v>0</v>
      </c>
      <c r="G186" s="132"/>
      <c r="H186" s="133"/>
      <c r="I186" s="132"/>
      <c r="J186" s="102"/>
      <c r="K186" s="132"/>
      <c r="L186" s="133"/>
      <c r="M186" s="133"/>
      <c r="N186" s="133"/>
      <c r="O186" s="133"/>
      <c r="P186" s="116"/>
      <c r="Q186" s="132"/>
      <c r="R186" s="132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4">
        <v>27</v>
      </c>
      <c r="AM186" s="12"/>
      <c r="AN186" s="96"/>
      <c r="AO186" s="145"/>
      <c r="AP186" s="145"/>
      <c r="AQ186" s="11"/>
      <c r="AR186" s="11"/>
    </row>
    <row r="187" spans="1:44" ht="19.5" thickBot="1">
      <c r="A187" s="164" t="s">
        <v>95</v>
      </c>
      <c r="B187" s="164"/>
      <c r="C187" s="164"/>
      <c r="D187" s="164"/>
      <c r="E187" s="164"/>
      <c r="F187" s="164"/>
      <c r="G187" s="164"/>
      <c r="H187" s="164"/>
      <c r="I187" s="164"/>
      <c r="J187" s="164"/>
      <c r="K187" s="150"/>
      <c r="L187" s="150"/>
      <c r="M187" s="150"/>
      <c r="N187" s="150"/>
      <c r="O187" s="150"/>
      <c r="P187" s="150"/>
      <c r="Q187" s="150"/>
      <c r="R187" s="164"/>
      <c r="S187" s="164"/>
      <c r="T187" s="164"/>
      <c r="U187" s="164"/>
      <c r="V187" s="164"/>
      <c r="W187" s="164"/>
      <c r="X187" s="164"/>
      <c r="Y187" s="164"/>
      <c r="Z187" s="164"/>
      <c r="AA187" s="164"/>
      <c r="AB187" s="164"/>
      <c r="AC187" s="164"/>
      <c r="AD187" s="164"/>
      <c r="AE187" s="164"/>
    </row>
    <row r="188" spans="1:44" s="4" customFormat="1" ht="37.5">
      <c r="A188" s="82">
        <v>17</v>
      </c>
      <c r="B188" s="83" t="s">
        <v>94</v>
      </c>
      <c r="C188" s="64">
        <f t="shared" ref="C188" si="72">SUM(D188:F190)</f>
        <v>48</v>
      </c>
      <c r="D188" s="65">
        <f t="shared" ref="D188" si="73">SUM(G188:P188)</f>
        <v>24</v>
      </c>
      <c r="E188" s="65"/>
      <c r="F188" s="66"/>
      <c r="G188" s="67">
        <v>4</v>
      </c>
      <c r="H188" s="68">
        <v>2</v>
      </c>
      <c r="I188" s="68">
        <v>4</v>
      </c>
      <c r="J188" s="67">
        <v>2</v>
      </c>
      <c r="K188" s="64">
        <v>4</v>
      </c>
      <c r="L188" s="65">
        <v>2</v>
      </c>
      <c r="M188" s="65">
        <v>4</v>
      </c>
      <c r="N188" s="65">
        <v>2</v>
      </c>
      <c r="O188" s="65"/>
      <c r="P188" s="195"/>
      <c r="Q188" s="65"/>
      <c r="R188" s="64"/>
      <c r="S188" s="65"/>
      <c r="T188" s="65"/>
      <c r="U188" s="65"/>
      <c r="V188" s="65"/>
      <c r="W188" s="65"/>
      <c r="X188" s="65"/>
      <c r="Y188" s="65"/>
      <c r="Z188" s="65"/>
      <c r="AA188" s="65"/>
      <c r="AB188" s="65"/>
      <c r="AC188" s="65"/>
      <c r="AD188" s="65"/>
      <c r="AE188" s="66" t="s">
        <v>15</v>
      </c>
      <c r="AM188" s="11"/>
      <c r="AN188" s="11"/>
      <c r="AO188" s="11"/>
      <c r="AP188" s="11"/>
      <c r="AQ188" s="11"/>
      <c r="AR188" s="11"/>
    </row>
    <row r="189" spans="1:44" s="4" customFormat="1">
      <c r="A189" s="84"/>
      <c r="B189" s="85"/>
      <c r="C189" s="71"/>
      <c r="D189" s="72"/>
      <c r="E189" s="72">
        <f t="shared" ref="E189" si="74">SUM(G189:P189)</f>
        <v>24</v>
      </c>
      <c r="F189" s="73"/>
      <c r="G189" s="71">
        <v>2</v>
      </c>
      <c r="H189" s="72">
        <v>4</v>
      </c>
      <c r="I189" s="72">
        <v>2</v>
      </c>
      <c r="J189" s="71">
        <v>4</v>
      </c>
      <c r="K189" s="74">
        <v>2</v>
      </c>
      <c r="L189" s="75">
        <v>4</v>
      </c>
      <c r="M189" s="75">
        <v>2</v>
      </c>
      <c r="N189" s="75">
        <v>4</v>
      </c>
      <c r="O189" s="72"/>
      <c r="P189" s="110"/>
      <c r="Q189" s="72"/>
      <c r="R189" s="71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6"/>
      <c r="AM189" s="12"/>
      <c r="AN189" s="96"/>
      <c r="AO189" s="145"/>
      <c r="AP189" s="145"/>
      <c r="AQ189" s="11"/>
      <c r="AR189" s="11"/>
    </row>
    <row r="190" spans="1:44" s="4" customFormat="1" ht="19.5" thickBot="1">
      <c r="A190" s="84"/>
      <c r="B190" s="85"/>
      <c r="C190" s="79"/>
      <c r="D190" s="80"/>
      <c r="E190" s="80"/>
      <c r="F190" s="81">
        <f t="shared" ref="F190" si="75">SUM(G190:P190)</f>
        <v>0</v>
      </c>
      <c r="G190" s="86"/>
      <c r="H190" s="87"/>
      <c r="I190" s="86"/>
      <c r="J190" s="79"/>
      <c r="K190" s="86"/>
      <c r="L190" s="72"/>
      <c r="M190" s="72"/>
      <c r="N190" s="72"/>
      <c r="O190" s="72"/>
      <c r="P190" s="110"/>
      <c r="Q190" s="72"/>
      <c r="R190" s="71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81">
        <v>9</v>
      </c>
      <c r="AM190" s="12"/>
      <c r="AN190" s="96"/>
      <c r="AO190" s="145"/>
      <c r="AP190" s="145"/>
      <c r="AQ190" s="11"/>
      <c r="AR190" s="11"/>
    </row>
  </sheetData>
  <mergeCells count="128">
    <mergeCell ref="AO189:AP189"/>
    <mergeCell ref="AO190:AP190"/>
    <mergeCell ref="A187:AE187"/>
    <mergeCell ref="AO185:AP185"/>
    <mergeCell ref="AO186:AP186"/>
    <mergeCell ref="AO68:AP68"/>
    <mergeCell ref="A65:AE65"/>
    <mergeCell ref="AO71:AP71"/>
    <mergeCell ref="AO72:AP72"/>
    <mergeCell ref="A69:AE69"/>
    <mergeCell ref="A73:AE73"/>
    <mergeCell ref="AO116:AP116"/>
    <mergeCell ref="A110:AE110"/>
    <mergeCell ref="A117:AE117"/>
    <mergeCell ref="A121:AE121"/>
    <mergeCell ref="A97:AE97"/>
    <mergeCell ref="A102:AE102"/>
    <mergeCell ref="A106:AE106"/>
    <mergeCell ref="AO115:AP115"/>
    <mergeCell ref="AO89:AP89"/>
    <mergeCell ref="AO91:AP91"/>
    <mergeCell ref="AO92:AP92"/>
    <mergeCell ref="A93:AE93"/>
    <mergeCell ref="A155:AE155"/>
    <mergeCell ref="AO157:AP157"/>
    <mergeCell ref="A98:AE98"/>
    <mergeCell ref="AO153:AP153"/>
    <mergeCell ref="A183:AE183"/>
    <mergeCell ref="A182:AE182"/>
    <mergeCell ref="AO24:AP24"/>
    <mergeCell ref="AO88:AP88"/>
    <mergeCell ref="AO75:AP75"/>
    <mergeCell ref="AO76:AP76"/>
    <mergeCell ref="AO79:AP79"/>
    <mergeCell ref="AO80:AP80"/>
    <mergeCell ref="A77:AE77"/>
    <mergeCell ref="AO82:AP82"/>
    <mergeCell ref="AO83:AP83"/>
    <mergeCell ref="AO85:AP85"/>
    <mergeCell ref="AO86:AP86"/>
    <mergeCell ref="AO56:AP56"/>
    <mergeCell ref="AO57:AP57"/>
    <mergeCell ref="AO60:AP60"/>
    <mergeCell ref="AO52:AP52"/>
    <mergeCell ref="AO21:AP21"/>
    <mergeCell ref="AO28:AP28"/>
    <mergeCell ref="AO29:AP29"/>
    <mergeCell ref="AO36:AP36"/>
    <mergeCell ref="A14:AE14"/>
    <mergeCell ref="AO45:AP45"/>
    <mergeCell ref="AO61:AP61"/>
    <mergeCell ref="AO53:AP53"/>
    <mergeCell ref="A50:AE50"/>
    <mergeCell ref="AO22:AP22"/>
    <mergeCell ref="AO32:AP32"/>
    <mergeCell ref="A37:AE37"/>
    <mergeCell ref="AO33:AP33"/>
    <mergeCell ref="A30:AE30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L13:AO13"/>
    <mergeCell ref="A15:AE15"/>
    <mergeCell ref="A19:AE19"/>
    <mergeCell ref="A26:AE26"/>
    <mergeCell ref="AO19:AP19"/>
    <mergeCell ref="A34:AE34"/>
    <mergeCell ref="A42:AE42"/>
    <mergeCell ref="AO44:AP44"/>
    <mergeCell ref="AO49:AP49"/>
    <mergeCell ref="A46:AE46"/>
    <mergeCell ref="AO37:AP37"/>
    <mergeCell ref="A38:AE38"/>
    <mergeCell ref="AO17:AP17"/>
    <mergeCell ref="AO18:AP18"/>
    <mergeCell ref="AO25:AP25"/>
    <mergeCell ref="A58:AE58"/>
    <mergeCell ref="AO67:AP67"/>
    <mergeCell ref="AO48:AP48"/>
    <mergeCell ref="A54:AE54"/>
    <mergeCell ref="AO158:AP158"/>
    <mergeCell ref="I156:L158"/>
    <mergeCell ref="A159:AE159"/>
    <mergeCell ref="A125:AE125"/>
    <mergeCell ref="AO137:AP137"/>
    <mergeCell ref="AO139:AP139"/>
    <mergeCell ref="AO140:AP140"/>
    <mergeCell ref="AO142:AP142"/>
    <mergeCell ref="AO143:AP143"/>
    <mergeCell ref="AO127:AP127"/>
    <mergeCell ref="AO128:AP128"/>
    <mergeCell ref="AO133:AP133"/>
    <mergeCell ref="AO134:AP134"/>
    <mergeCell ref="AO136:AP136"/>
    <mergeCell ref="A150:AE150"/>
    <mergeCell ref="AO145:AP145"/>
    <mergeCell ref="AO146:AP146"/>
    <mergeCell ref="AO148:AP148"/>
    <mergeCell ref="AO149:AP149"/>
    <mergeCell ref="A151:AE151"/>
    <mergeCell ref="AO154:AP154"/>
    <mergeCell ref="G152:J154"/>
    <mergeCell ref="R152:R154"/>
    <mergeCell ref="AO161:AP161"/>
    <mergeCell ref="AO162:AP162"/>
    <mergeCell ref="K160:L162"/>
    <mergeCell ref="AO180:AP180"/>
    <mergeCell ref="AO181:AP181"/>
    <mergeCell ref="A178:AE178"/>
    <mergeCell ref="A170:AE170"/>
    <mergeCell ref="AO176:AP176"/>
    <mergeCell ref="AO177:AP177"/>
    <mergeCell ref="A174:AE174"/>
    <mergeCell ref="A163:AE163"/>
  </mergeCells>
  <conditionalFormatting sqref="A131">
    <cfRule type="expression" dxfId="71" priority="18" stopIfTrue="1">
      <formula>$DB127=1</formula>
    </cfRule>
  </conditionalFormatting>
  <conditionalFormatting sqref="A131:B131">
    <cfRule type="expression" dxfId="70" priority="16" stopIfTrue="1">
      <formula>$CV127&gt;0</formula>
    </cfRule>
    <cfRule type="expression" dxfId="69" priority="17" stopIfTrue="1">
      <formula>$CU127&gt;0</formula>
    </cfRule>
  </conditionalFormatting>
  <conditionalFormatting sqref="A131">
    <cfRule type="expression" dxfId="68" priority="15" stopIfTrue="1">
      <formula>$DB127=1</formula>
    </cfRule>
  </conditionalFormatting>
  <conditionalFormatting sqref="A131:B131">
    <cfRule type="expression" dxfId="67" priority="13" stopIfTrue="1">
      <formula>$CV127&gt;0</formula>
    </cfRule>
    <cfRule type="expression" dxfId="66" priority="14" stopIfTrue="1">
      <formula>$CU127&gt;0</formula>
    </cfRule>
  </conditionalFormatting>
  <conditionalFormatting sqref="A131">
    <cfRule type="expression" dxfId="65" priority="12" stopIfTrue="1">
      <formula>$DC127=1</formula>
    </cfRule>
  </conditionalFormatting>
  <conditionalFormatting sqref="A131:B131">
    <cfRule type="expression" dxfId="64" priority="10" stopIfTrue="1">
      <formula>$CW127&gt;0</formula>
    </cfRule>
    <cfRule type="expression" dxfId="63" priority="11" stopIfTrue="1">
      <formula>$CV127&gt;0</formula>
    </cfRule>
  </conditionalFormatting>
  <conditionalFormatting sqref="A64">
    <cfRule type="expression" dxfId="62" priority="72" stopIfTrue="1">
      <formula>$DB60=1</formula>
    </cfRule>
  </conditionalFormatting>
  <conditionalFormatting sqref="A64:B64">
    <cfRule type="expression" dxfId="61" priority="70" stopIfTrue="1">
      <formula>$CV60&gt;0</formula>
    </cfRule>
    <cfRule type="expression" dxfId="60" priority="71" stopIfTrue="1">
      <formula>$CU60&gt;0</formula>
    </cfRule>
  </conditionalFormatting>
  <conditionalFormatting sqref="A64">
    <cfRule type="expression" dxfId="59" priority="69" stopIfTrue="1">
      <formula>$DB60=1</formula>
    </cfRule>
  </conditionalFormatting>
  <conditionalFormatting sqref="A64:B64">
    <cfRule type="expression" dxfId="58" priority="67" stopIfTrue="1">
      <formula>$CV60&gt;0</formula>
    </cfRule>
    <cfRule type="expression" dxfId="57" priority="68" stopIfTrue="1">
      <formula>$CU60&gt;0</formula>
    </cfRule>
  </conditionalFormatting>
  <conditionalFormatting sqref="A64">
    <cfRule type="expression" dxfId="56" priority="66" stopIfTrue="1">
      <formula>$DC60=1</formula>
    </cfRule>
  </conditionalFormatting>
  <conditionalFormatting sqref="A64:B64">
    <cfRule type="expression" dxfId="55" priority="64" stopIfTrue="1">
      <formula>$CW60&gt;0</formula>
    </cfRule>
    <cfRule type="expression" dxfId="54" priority="65" stopIfTrue="1">
      <formula>$CV60&gt;0</formula>
    </cfRule>
  </conditionalFormatting>
  <conditionalFormatting sqref="A105">
    <cfRule type="expression" dxfId="53" priority="63" stopIfTrue="1">
      <formula>$DB97=1</formula>
    </cfRule>
  </conditionalFormatting>
  <conditionalFormatting sqref="A105:B105">
    <cfRule type="expression" dxfId="52" priority="61" stopIfTrue="1">
      <formula>$CV97&gt;0</formula>
    </cfRule>
    <cfRule type="expression" dxfId="51" priority="62" stopIfTrue="1">
      <formula>$CU97&gt;0</formula>
    </cfRule>
  </conditionalFormatting>
  <conditionalFormatting sqref="A105">
    <cfRule type="expression" dxfId="50" priority="60" stopIfTrue="1">
      <formula>$DB97=1</formula>
    </cfRule>
  </conditionalFormatting>
  <conditionalFormatting sqref="A105:B105">
    <cfRule type="expression" dxfId="49" priority="58" stopIfTrue="1">
      <formula>$CV97&gt;0</formula>
    </cfRule>
    <cfRule type="expression" dxfId="48" priority="59" stopIfTrue="1">
      <formula>$CU97&gt;0</formula>
    </cfRule>
  </conditionalFormatting>
  <conditionalFormatting sqref="A105">
    <cfRule type="expression" dxfId="47" priority="57" stopIfTrue="1">
      <formula>$DC97=1</formula>
    </cfRule>
  </conditionalFormatting>
  <conditionalFormatting sqref="A105:B105">
    <cfRule type="expression" dxfId="46" priority="55" stopIfTrue="1">
      <formula>$CW97&gt;0</formula>
    </cfRule>
    <cfRule type="expression" dxfId="45" priority="56" stopIfTrue="1">
      <formula>$CV97&gt;0</formula>
    </cfRule>
  </conditionalFormatting>
  <conditionalFormatting sqref="A109">
    <cfRule type="expression" dxfId="44" priority="54" stopIfTrue="1">
      <formula>$DB105=1</formula>
    </cfRule>
  </conditionalFormatting>
  <conditionalFormatting sqref="A109:B109">
    <cfRule type="expression" dxfId="43" priority="52" stopIfTrue="1">
      <formula>$CV105&gt;0</formula>
    </cfRule>
    <cfRule type="expression" dxfId="42" priority="53" stopIfTrue="1">
      <formula>$CU105&gt;0</formula>
    </cfRule>
  </conditionalFormatting>
  <conditionalFormatting sqref="A109">
    <cfRule type="expression" dxfId="41" priority="51" stopIfTrue="1">
      <formula>$DB105=1</formula>
    </cfRule>
  </conditionalFormatting>
  <conditionalFormatting sqref="A109:B109">
    <cfRule type="expression" dxfId="40" priority="49" stopIfTrue="1">
      <formula>$CV105&gt;0</formula>
    </cfRule>
    <cfRule type="expression" dxfId="39" priority="50" stopIfTrue="1">
      <formula>$CU105&gt;0</formula>
    </cfRule>
  </conditionalFormatting>
  <conditionalFormatting sqref="A109">
    <cfRule type="expression" dxfId="38" priority="48" stopIfTrue="1">
      <formula>$DC105=1</formula>
    </cfRule>
  </conditionalFormatting>
  <conditionalFormatting sqref="A109:B109">
    <cfRule type="expression" dxfId="37" priority="46" stopIfTrue="1">
      <formula>$CW105&gt;0</formula>
    </cfRule>
    <cfRule type="expression" dxfId="36" priority="47" stopIfTrue="1">
      <formula>$CV105&gt;0</formula>
    </cfRule>
  </conditionalFormatting>
  <conditionalFormatting sqref="A113">
    <cfRule type="expression" dxfId="35" priority="43" stopIfTrue="1">
      <formula>$DB109=1</formula>
    </cfRule>
  </conditionalFormatting>
  <conditionalFormatting sqref="A113:B113">
    <cfRule type="expression" dxfId="34" priority="44" stopIfTrue="1">
      <formula>$CV109&gt;0</formula>
    </cfRule>
    <cfRule type="expression" dxfId="33" priority="45" stopIfTrue="1">
      <formula>$CU109&gt;0</formula>
    </cfRule>
  </conditionalFormatting>
  <conditionalFormatting sqref="A113">
    <cfRule type="expression" dxfId="32" priority="42" stopIfTrue="1">
      <formula>$DB109=1</formula>
    </cfRule>
  </conditionalFormatting>
  <conditionalFormatting sqref="A113:B113">
    <cfRule type="expression" dxfId="31" priority="40" stopIfTrue="1">
      <formula>$CV109&gt;0</formula>
    </cfRule>
    <cfRule type="expression" dxfId="30" priority="41" stopIfTrue="1">
      <formula>$CU109&gt;0</formula>
    </cfRule>
  </conditionalFormatting>
  <conditionalFormatting sqref="A113">
    <cfRule type="expression" dxfId="29" priority="39" stopIfTrue="1">
      <formula>$DC109=1</formula>
    </cfRule>
  </conditionalFormatting>
  <conditionalFormatting sqref="A113:B113">
    <cfRule type="expression" dxfId="28" priority="37" stopIfTrue="1">
      <formula>$CW109&gt;0</formula>
    </cfRule>
    <cfRule type="expression" dxfId="27" priority="38" stopIfTrue="1">
      <formula>$CV109&gt;0</formula>
    </cfRule>
  </conditionalFormatting>
  <conditionalFormatting sqref="A120">
    <cfRule type="expression" dxfId="26" priority="36" stopIfTrue="1">
      <formula>$DB116=1</formula>
    </cfRule>
  </conditionalFormatting>
  <conditionalFormatting sqref="A120:B120">
    <cfRule type="expression" dxfId="25" priority="34" stopIfTrue="1">
      <formula>$CV116&gt;0</formula>
    </cfRule>
    <cfRule type="expression" dxfId="24" priority="35" stopIfTrue="1">
      <formula>$CU116&gt;0</formula>
    </cfRule>
  </conditionalFormatting>
  <conditionalFormatting sqref="A120">
    <cfRule type="expression" dxfId="23" priority="33" stopIfTrue="1">
      <formula>$DB116=1</formula>
    </cfRule>
  </conditionalFormatting>
  <conditionalFormatting sqref="A120:B120">
    <cfRule type="expression" dxfId="22" priority="31" stopIfTrue="1">
      <formula>$CV116&gt;0</formula>
    </cfRule>
    <cfRule type="expression" dxfId="21" priority="32" stopIfTrue="1">
      <formula>$CU116&gt;0</formula>
    </cfRule>
  </conditionalFormatting>
  <conditionalFormatting sqref="A120">
    <cfRule type="expression" dxfId="20" priority="30" stopIfTrue="1">
      <formula>$DC116=1</formula>
    </cfRule>
  </conditionalFormatting>
  <conditionalFormatting sqref="A120:B120">
    <cfRule type="expression" dxfId="19" priority="28" stopIfTrue="1">
      <formula>$CW116&gt;0</formula>
    </cfRule>
    <cfRule type="expression" dxfId="18" priority="29" stopIfTrue="1">
      <formula>$CV116&gt;0</formula>
    </cfRule>
  </conditionalFormatting>
  <conditionalFormatting sqref="A124">
    <cfRule type="expression" dxfId="17" priority="27" stopIfTrue="1">
      <formula>$DB120=1</formula>
    </cfRule>
  </conditionalFormatting>
  <conditionalFormatting sqref="A124:B124">
    <cfRule type="expression" dxfId="16" priority="25" stopIfTrue="1">
      <formula>$CV120&gt;0</formula>
    </cfRule>
    <cfRule type="expression" dxfId="15" priority="26" stopIfTrue="1">
      <formula>$CU120&gt;0</formula>
    </cfRule>
  </conditionalFormatting>
  <conditionalFormatting sqref="A124">
    <cfRule type="expression" dxfId="14" priority="24" stopIfTrue="1">
      <formula>$DB120=1</formula>
    </cfRule>
  </conditionalFormatting>
  <conditionalFormatting sqref="A124:B124">
    <cfRule type="expression" dxfId="13" priority="22" stopIfTrue="1">
      <formula>$CV120&gt;0</formula>
    </cfRule>
    <cfRule type="expression" dxfId="12" priority="23" stopIfTrue="1">
      <formula>$CU120&gt;0</formula>
    </cfRule>
  </conditionalFormatting>
  <conditionalFormatting sqref="A124">
    <cfRule type="expression" dxfId="11" priority="21" stopIfTrue="1">
      <formula>$DC120=1</formula>
    </cfRule>
  </conditionalFormatting>
  <conditionalFormatting sqref="A124:B124">
    <cfRule type="expression" dxfId="10" priority="19" stopIfTrue="1">
      <formula>$CW120&gt;0</formula>
    </cfRule>
    <cfRule type="expression" dxfId="9" priority="20" stopIfTrue="1">
      <formula>$CV120&gt;0</formula>
    </cfRule>
  </conditionalFormatting>
  <conditionalFormatting sqref="A173">
    <cfRule type="expression" dxfId="8" priority="7" stopIfTrue="1">
      <formula>$DB149=1</formula>
    </cfRule>
  </conditionalFormatting>
  <conditionalFormatting sqref="A173:B173">
    <cfRule type="expression" dxfId="7" priority="8" stopIfTrue="1">
      <formula>$CV149&gt;0</formula>
    </cfRule>
    <cfRule type="expression" dxfId="6" priority="9" stopIfTrue="1">
      <formula>$CU149&gt;0</formula>
    </cfRule>
  </conditionalFormatting>
  <conditionalFormatting sqref="A173">
    <cfRule type="expression" dxfId="5" priority="6" stopIfTrue="1">
      <formula>$DB149=1</formula>
    </cfRule>
  </conditionalFormatting>
  <conditionalFormatting sqref="A173:B173">
    <cfRule type="expression" dxfId="4" priority="4" stopIfTrue="1">
      <formula>$CV149&gt;0</formula>
    </cfRule>
    <cfRule type="expression" dxfId="3" priority="5" stopIfTrue="1">
      <formula>$CU149&gt;0</formula>
    </cfRule>
  </conditionalFormatting>
  <conditionalFormatting sqref="A173">
    <cfRule type="expression" dxfId="2" priority="3" stopIfTrue="1">
      <formula>$DC149=1</formula>
    </cfRule>
  </conditionalFormatting>
  <conditionalFormatting sqref="A173:B173">
    <cfRule type="expression" dxfId="1" priority="1" stopIfTrue="1">
      <formula>$CW149&gt;0</formula>
    </cfRule>
    <cfRule type="expression" dxfId="0" priority="2" stopIfTrue="1">
      <formula>$CV149&gt;0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2021-10-27T11:42:10Z</dcterms:modified>
</cp:coreProperties>
</file>