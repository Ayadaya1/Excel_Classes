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Кафедральные сетки\"/>
    </mc:Choice>
  </mc:AlternateContent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52511"/>
</workbook>
</file>

<file path=xl/calcChain.xml><?xml version="1.0" encoding="utf-8"?>
<calcChain xmlns="http://schemas.openxmlformats.org/spreadsheetml/2006/main">
  <c r="F86" i="1" l="1"/>
  <c r="E85" i="1"/>
  <c r="D84" i="1"/>
  <c r="C84" i="1"/>
  <c r="F83" i="1"/>
  <c r="E82" i="1"/>
  <c r="D81" i="1"/>
  <c r="C81" i="1"/>
  <c r="F79" i="1" l="1"/>
  <c r="E78" i="1"/>
  <c r="D77" i="1"/>
  <c r="C77" i="1" s="1"/>
  <c r="F74" i="1" l="1"/>
  <c r="E73" i="1"/>
  <c r="D72" i="1"/>
  <c r="C72" i="1"/>
  <c r="F71" i="1"/>
  <c r="E70" i="1"/>
  <c r="D69" i="1"/>
  <c r="C69" i="1"/>
  <c r="F68" i="1"/>
  <c r="E67" i="1"/>
  <c r="D66" i="1"/>
  <c r="C66" i="1"/>
  <c r="F65" i="1"/>
  <c r="E64" i="1"/>
  <c r="D63" i="1"/>
  <c r="C63" i="1"/>
  <c r="F62" i="1"/>
  <c r="E61" i="1"/>
  <c r="D60" i="1"/>
  <c r="C60" i="1"/>
  <c r="F59" i="1"/>
  <c r="E58" i="1"/>
  <c r="D57" i="1"/>
  <c r="C57" i="1"/>
  <c r="F56" i="1"/>
  <c r="E55" i="1"/>
  <c r="D54" i="1"/>
  <c r="C54" i="1"/>
  <c r="F53" i="1"/>
  <c r="E52" i="1"/>
  <c r="D51" i="1"/>
  <c r="C51" i="1"/>
  <c r="F50" i="1"/>
  <c r="E49" i="1"/>
  <c r="D48" i="1"/>
  <c r="C48" i="1"/>
  <c r="F45" i="1" l="1"/>
  <c r="E44" i="1"/>
  <c r="D43" i="1"/>
  <c r="C43" i="1" s="1"/>
  <c r="F42" i="1"/>
  <c r="E41" i="1"/>
  <c r="D40" i="1"/>
  <c r="C40" i="1" s="1"/>
  <c r="F39" i="1"/>
  <c r="E38" i="1"/>
  <c r="D37" i="1"/>
  <c r="C37" i="1" s="1"/>
  <c r="F36" i="1"/>
  <c r="E35" i="1"/>
  <c r="D34" i="1"/>
  <c r="C34" i="1" s="1"/>
  <c r="F33" i="1"/>
  <c r="E32" i="1"/>
  <c r="D31" i="1"/>
  <c r="C31" i="1" s="1"/>
  <c r="F30" i="1"/>
  <c r="E29" i="1"/>
  <c r="D28" i="1"/>
  <c r="C28" i="1" s="1"/>
  <c r="F26" i="1" l="1"/>
  <c r="E25" i="1"/>
  <c r="D24" i="1"/>
  <c r="C24" i="1" s="1"/>
  <c r="F23" i="1"/>
  <c r="E22" i="1"/>
  <c r="D21" i="1"/>
  <c r="C21" i="1" s="1"/>
  <c r="F18" i="1" l="1"/>
  <c r="E17" i="1"/>
  <c r="D16" i="1"/>
  <c r="C16" i="1" s="1"/>
</calcChain>
</file>

<file path=xl/sharedStrings.xml><?xml version="1.0" encoding="utf-8"?>
<sst xmlns="http://schemas.openxmlformats.org/spreadsheetml/2006/main" count="80" uniqueCount="52">
  <si>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</si>
  <si>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</si>
  <si>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</si>
  <si>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</si>
  <si>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</si>
  <si>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</si>
  <si>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</si>
  <si>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</si>
  <si>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</si>
  <si>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</si>
  <si>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</si>
  <si>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</si>
  <si>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</si>
  <si>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</si>
  <si>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</si>
  <si>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</si>
  <si>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</si>
  <si>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</si>
  <si>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Зачет</t>
  </si>
  <si>
    <t>Экзамен</t>
  </si>
  <si>
    <t xml:space="preserve">               2 КУРС</t>
  </si>
  <si>
    <t xml:space="preserve">Экзамен </t>
  </si>
  <si>
    <t>Факультатив</t>
  </si>
  <si>
    <t xml:space="preserve">Дифф.зачет </t>
  </si>
  <si>
    <t xml:space="preserve">               3 КУРС</t>
  </si>
  <si>
    <t>КР</t>
  </si>
  <si>
    <t xml:space="preserve">               4 КУРС</t>
  </si>
  <si>
    <t xml:space="preserve">                                       Дисциплины 392 (ТЛ)</t>
  </si>
  <si>
    <t xml:space="preserve">                                       Дисциплины 281, 282 (ОПУВТ)</t>
  </si>
  <si>
    <t xml:space="preserve">                                       Дисциплины 382, 382а (ТЛ)</t>
  </si>
  <si>
    <t xml:space="preserve">                                            Кафедра № 30</t>
  </si>
  <si>
    <t>Дисциплины кафедры № 30</t>
  </si>
  <si>
    <t>Система городского и регионального транспорта</t>
  </si>
  <si>
    <t xml:space="preserve">                                       Дисциплины 312 (ТЛ)</t>
  </si>
  <si>
    <t>Грузоведение</t>
  </si>
  <si>
    <t>Основы логистики</t>
  </si>
  <si>
    <t xml:space="preserve">                                       Дисциплины 201, 202 (ОПУВТ)</t>
  </si>
  <si>
    <t>Исследование операций на транспорте</t>
  </si>
  <si>
    <t>Статистика транспорта</t>
  </si>
  <si>
    <t>Научно-исследовательская работа обучающегося</t>
  </si>
  <si>
    <t xml:space="preserve">                                       Дисциплины 302 (ТЛ)</t>
  </si>
  <si>
    <t>Механизация и автоматизация погрузочно-разгрузочных работ на транспорте</t>
  </si>
  <si>
    <t>КП</t>
  </si>
  <si>
    <t>Базы и банки данных на транспорте</t>
  </si>
  <si>
    <t>Международные интермодальные перевозки</t>
  </si>
  <si>
    <t>Транспортно-экспедиционное обслуживание</t>
  </si>
  <si>
    <t>Пункты взаимодействия на транспорте и транспортно-складские комплексы</t>
  </si>
  <si>
    <t>Логистика</t>
  </si>
  <si>
    <t>Технология перевозок</t>
  </si>
  <si>
    <t>Организация деятельности в области транспортной логистики</t>
  </si>
  <si>
    <t>Взаимодействие видов транспорта в логистических цепях поставок</t>
  </si>
  <si>
    <t>Автоматизация управления транспортно-логистическим процессом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</si>
</sst>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6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3" borderId="39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9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86"/>
  <sheetViews>
    <sheetView tabSelected="1" zoomScale="70" zoomScaleNormal="70" workbookViewId="0">
      <selection activeCell="C100" sqref="C100"/>
    </sheetView>
  </sheetViews>
  <sheetFormatPr defaultColWidth="9.140625" defaultRowHeight="18.75" x14ac:dyDescent="0.3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 x14ac:dyDescent="0.3">
      <c r="A1" s="109" t="s">
        <v>15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93"/>
    </row>
    <row r="2" spans="1:44" x14ac:dyDescent="0.3">
      <c r="A2" s="110" t="s">
        <v>16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</row>
    <row r="3" spans="1:44" ht="18.75" customHeight="1" x14ac:dyDescent="0.3">
      <c r="A3" s="134"/>
      <c r="B3" s="134"/>
      <c r="C3" s="134"/>
      <c r="H3" s="111" t="s">
        <v>30</v>
      </c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</row>
    <row r="4" spans="1:44" ht="19.5" thickBot="1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 x14ac:dyDescent="0.35">
      <c r="A5" s="117" t="s">
        <v>1</v>
      </c>
      <c r="B5" s="120" t="s">
        <v>0</v>
      </c>
      <c r="C5" s="112" t="s">
        <v>4</v>
      </c>
      <c r="D5" s="113"/>
      <c r="E5" s="113"/>
      <c r="F5" s="113"/>
      <c r="G5" s="106" t="s">
        <v>9</v>
      </c>
      <c r="H5" s="107"/>
      <c r="I5" s="126" t="s">
        <v>10</v>
      </c>
      <c r="J5" s="127"/>
      <c r="K5" s="127"/>
      <c r="L5" s="128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26" t="s">
        <v>13</v>
      </c>
      <c r="V5" s="107"/>
      <c r="W5" s="127"/>
      <c r="X5" s="127"/>
      <c r="Y5" s="54"/>
      <c r="Z5" s="126" t="s">
        <v>14</v>
      </c>
      <c r="AA5" s="127"/>
      <c r="AB5" s="127"/>
      <c r="AC5" s="127"/>
      <c r="AD5" s="61"/>
      <c r="AE5" s="120" t="s">
        <v>5</v>
      </c>
    </row>
    <row r="6" spans="1:44" ht="20.100000000000001" customHeight="1" thickBot="1" x14ac:dyDescent="0.35">
      <c r="A6" s="118"/>
      <c r="B6" s="121"/>
      <c r="C6" s="114"/>
      <c r="D6" s="115"/>
      <c r="E6" s="115"/>
      <c r="F6" s="116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21"/>
    </row>
    <row r="7" spans="1:44" ht="20.100000000000001" customHeight="1" thickBot="1" x14ac:dyDescent="0.35">
      <c r="A7" s="118"/>
      <c r="B7" s="121"/>
      <c r="C7" s="123" t="s">
        <v>2</v>
      </c>
      <c r="D7" s="131" t="s">
        <v>3</v>
      </c>
      <c r="E7" s="132"/>
      <c r="F7" s="133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21"/>
    </row>
    <row r="8" spans="1:44" ht="20.100000000000001" customHeight="1" x14ac:dyDescent="0.3">
      <c r="A8" s="118"/>
      <c r="B8" s="121"/>
      <c r="C8" s="124"/>
      <c r="D8" s="129" t="s">
        <v>6</v>
      </c>
      <c r="E8" s="124" t="s">
        <v>7</v>
      </c>
      <c r="F8" s="124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21"/>
    </row>
    <row r="9" spans="1:44" s="4" customFormat="1" ht="20.100000000000001" customHeight="1" thickBot="1" x14ac:dyDescent="0.35">
      <c r="A9" s="118"/>
      <c r="B9" s="121"/>
      <c r="C9" s="124"/>
      <c r="D9" s="129"/>
      <c r="E9" s="124"/>
      <c r="F9" s="124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16"/>
    </row>
    <row r="10" spans="1:44" s="4" customFormat="1" ht="20.100000000000001" customHeight="1" x14ac:dyDescent="0.3">
      <c r="A10" s="118"/>
      <c r="B10" s="121"/>
      <c r="C10" s="124"/>
      <c r="D10" s="129"/>
      <c r="E10" s="124"/>
      <c r="F10" s="124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21"/>
    </row>
    <row r="11" spans="1:44" s="4" customFormat="1" ht="20.100000000000001" customHeight="1" thickBot="1" x14ac:dyDescent="0.35">
      <c r="A11" s="118"/>
      <c r="B11" s="121"/>
      <c r="C11" s="124"/>
      <c r="D11" s="129"/>
      <c r="E11" s="124"/>
      <c r="F11" s="124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21"/>
    </row>
    <row r="12" spans="1:44" s="4" customFormat="1" ht="20.100000000000001" customHeight="1" thickBot="1" x14ac:dyDescent="0.35">
      <c r="A12" s="119"/>
      <c r="B12" s="122"/>
      <c r="C12" s="125"/>
      <c r="D12" s="130"/>
      <c r="E12" s="125"/>
      <c r="F12" s="125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22"/>
    </row>
    <row r="13" spans="1:44" s="4" customFormat="1" ht="35.25" customHeight="1" x14ac:dyDescent="0.3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08" t="s">
        <v>31</v>
      </c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</row>
    <row r="14" spans="1:44" s="4" customFormat="1" ht="19.5" customHeight="1" thickBot="1" x14ac:dyDescent="0.35">
      <c r="A14" s="104" t="s">
        <v>17</v>
      </c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M14" s="12"/>
      <c r="AN14" s="96"/>
      <c r="AO14" s="97"/>
      <c r="AP14" s="97"/>
      <c r="AQ14" s="11"/>
      <c r="AR14" s="11"/>
    </row>
    <row r="15" spans="1:44" s="4" customFormat="1" ht="19.5" thickBot="1" x14ac:dyDescent="0.35">
      <c r="A15" s="101" t="s">
        <v>33</v>
      </c>
      <c r="B15" s="102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3"/>
      <c r="AM15" s="11"/>
      <c r="AN15" s="11"/>
      <c r="AO15" s="11"/>
      <c r="AP15" s="11"/>
      <c r="AQ15" s="11"/>
      <c r="AR15" s="11"/>
    </row>
    <row r="16" spans="1:44" s="4" customFormat="1" ht="56.25" x14ac:dyDescent="0.3">
      <c r="A16" s="82">
        <v>30</v>
      </c>
      <c r="B16" s="83" t="s">
        <v>32</v>
      </c>
      <c r="C16" s="64">
        <f t="shared" ref="C16" si="0">SUM(D16:F18)</f>
        <v>108</v>
      </c>
      <c r="D16" s="65">
        <f t="shared" ref="D16" si="1">SUM(G16:X16)</f>
        <v>54</v>
      </c>
      <c r="E16" s="65"/>
      <c r="F16" s="66"/>
      <c r="G16" s="71">
        <v>4</v>
      </c>
      <c r="H16" s="72">
        <v>2</v>
      </c>
      <c r="I16" s="72">
        <v>4</v>
      </c>
      <c r="J16" s="71">
        <v>2</v>
      </c>
      <c r="K16" s="74">
        <v>4</v>
      </c>
      <c r="L16" s="75">
        <v>2</v>
      </c>
      <c r="M16" s="75">
        <v>4</v>
      </c>
      <c r="N16" s="75">
        <v>2</v>
      </c>
      <c r="O16" s="75">
        <v>4</v>
      </c>
      <c r="P16" s="75">
        <v>2</v>
      </c>
      <c r="Q16" s="71">
        <v>4</v>
      </c>
      <c r="R16" s="71">
        <v>2</v>
      </c>
      <c r="S16" s="72">
        <v>4</v>
      </c>
      <c r="T16" s="72">
        <v>2</v>
      </c>
      <c r="U16" s="72">
        <v>4</v>
      </c>
      <c r="V16" s="72">
        <v>2</v>
      </c>
      <c r="W16" s="72">
        <v>4</v>
      </c>
      <c r="X16" s="73">
        <v>2</v>
      </c>
      <c r="Y16" s="64"/>
      <c r="Z16" s="65"/>
      <c r="AA16" s="65"/>
      <c r="AB16" s="65"/>
      <c r="AC16" s="65"/>
      <c r="AD16" s="65"/>
      <c r="AE16" s="66" t="s">
        <v>19</v>
      </c>
      <c r="AM16" s="11"/>
      <c r="AN16" s="11"/>
      <c r="AO16" s="11"/>
      <c r="AP16" s="11"/>
      <c r="AQ16" s="11"/>
      <c r="AR16" s="11"/>
    </row>
    <row r="17" spans="1:44" s="4" customFormat="1" x14ac:dyDescent="0.3">
      <c r="A17" s="84"/>
      <c r="B17" s="85"/>
      <c r="C17" s="71"/>
      <c r="D17" s="72"/>
      <c r="E17" s="72">
        <f t="shared" ref="E17" si="2">SUM(G17:X17)</f>
        <v>54</v>
      </c>
      <c r="F17" s="73"/>
      <c r="G17" s="71">
        <v>2</v>
      </c>
      <c r="H17" s="72">
        <v>4</v>
      </c>
      <c r="I17" s="72">
        <v>2</v>
      </c>
      <c r="J17" s="71">
        <v>4</v>
      </c>
      <c r="K17" s="74">
        <v>2</v>
      </c>
      <c r="L17" s="75">
        <v>4</v>
      </c>
      <c r="M17" s="75">
        <v>2</v>
      </c>
      <c r="N17" s="75">
        <v>4</v>
      </c>
      <c r="O17" s="75">
        <v>2</v>
      </c>
      <c r="P17" s="75">
        <v>4</v>
      </c>
      <c r="Q17" s="71">
        <v>2</v>
      </c>
      <c r="R17" s="71">
        <v>4</v>
      </c>
      <c r="S17" s="72">
        <v>2</v>
      </c>
      <c r="T17" s="72">
        <v>4</v>
      </c>
      <c r="U17" s="72">
        <v>2</v>
      </c>
      <c r="V17" s="72">
        <v>4</v>
      </c>
      <c r="W17" s="72">
        <v>2</v>
      </c>
      <c r="X17" s="73">
        <v>4</v>
      </c>
      <c r="Y17" s="71"/>
      <c r="Z17" s="72"/>
      <c r="AA17" s="72"/>
      <c r="AB17" s="72"/>
      <c r="AC17" s="72"/>
      <c r="AD17" s="72"/>
      <c r="AE17" s="76"/>
      <c r="AM17" s="12"/>
      <c r="AN17" s="96"/>
      <c r="AO17" s="105"/>
      <c r="AP17" s="105"/>
      <c r="AQ17" s="11"/>
      <c r="AR17" s="11"/>
    </row>
    <row r="18" spans="1:44" s="4" customFormat="1" ht="19.5" thickBot="1" x14ac:dyDescent="0.35">
      <c r="A18" s="98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86"/>
      <c r="R18" s="86"/>
      <c r="S18" s="87"/>
      <c r="T18" s="87"/>
      <c r="U18" s="87"/>
      <c r="V18" s="87"/>
      <c r="W18" s="87"/>
      <c r="X18" s="92"/>
      <c r="Y18" s="86"/>
      <c r="Z18" s="87"/>
      <c r="AA18" s="87"/>
      <c r="AB18" s="87"/>
      <c r="AC18" s="87"/>
      <c r="AD18" s="87"/>
      <c r="AE18" s="81">
        <v>36</v>
      </c>
      <c r="AM18" s="12"/>
      <c r="AN18" s="96"/>
      <c r="AO18" s="105"/>
      <c r="AP18" s="105"/>
      <c r="AQ18" s="11"/>
      <c r="AR18" s="11"/>
    </row>
    <row r="19" spans="1:44" s="4" customFormat="1" ht="19.5" customHeight="1" thickBot="1" x14ac:dyDescent="0.35">
      <c r="A19" s="104" t="s">
        <v>20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M19" s="12"/>
      <c r="AN19" s="96"/>
      <c r="AO19" s="100"/>
      <c r="AP19" s="100"/>
      <c r="AQ19" s="11"/>
      <c r="AR19" s="11"/>
    </row>
    <row r="20" spans="1:44" s="4" customFormat="1" ht="19.5" thickBot="1" x14ac:dyDescent="0.35">
      <c r="A20" s="101" t="s">
        <v>36</v>
      </c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3"/>
      <c r="AM20" s="12"/>
      <c r="AN20" s="96"/>
      <c r="AO20" s="105"/>
      <c r="AP20" s="105"/>
      <c r="AQ20" s="11"/>
      <c r="AR20" s="11"/>
    </row>
    <row r="21" spans="1:44" s="4" customFormat="1" ht="19.5" x14ac:dyDescent="0.3">
      <c r="A21" s="82">
        <v>30</v>
      </c>
      <c r="B21" s="83" t="s">
        <v>34</v>
      </c>
      <c r="C21" s="64">
        <f t="shared" ref="C21" si="4">SUM(D21:F23)</f>
        <v>36</v>
      </c>
      <c r="D21" s="65">
        <f t="shared" ref="D21" si="5">SUM(G21:X21)</f>
        <v>18</v>
      </c>
      <c r="E21" s="65"/>
      <c r="F21" s="66"/>
      <c r="G21" s="64">
        <v>2</v>
      </c>
      <c r="H21" s="65"/>
      <c r="I21" s="65">
        <v>2</v>
      </c>
      <c r="J21" s="65"/>
      <c r="K21" s="64">
        <v>2</v>
      </c>
      <c r="L21" s="65"/>
      <c r="M21" s="65">
        <v>2</v>
      </c>
      <c r="N21" s="65"/>
      <c r="O21" s="65">
        <v>2</v>
      </c>
      <c r="P21" s="65"/>
      <c r="Q21" s="64">
        <v>2</v>
      </c>
      <c r="R21" s="64"/>
      <c r="S21" s="65">
        <v>2</v>
      </c>
      <c r="T21" s="65"/>
      <c r="U21" s="65">
        <v>2</v>
      </c>
      <c r="V21" s="65"/>
      <c r="W21" s="65">
        <v>2</v>
      </c>
      <c r="X21" s="66"/>
      <c r="Y21" s="64"/>
      <c r="Z21" s="65"/>
      <c r="AA21" s="65"/>
      <c r="AB21" s="65"/>
      <c r="AC21" s="65"/>
      <c r="AD21" s="65"/>
      <c r="AE21" s="66" t="s">
        <v>19</v>
      </c>
      <c r="AM21" s="11"/>
      <c r="AN21" s="11"/>
      <c r="AO21" s="11"/>
      <c r="AP21" s="11"/>
      <c r="AQ21" s="11"/>
      <c r="AR21" s="11"/>
    </row>
    <row r="22" spans="1:44" s="4" customFormat="1" x14ac:dyDescent="0.3">
      <c r="A22" s="84"/>
      <c r="B22" s="85"/>
      <c r="C22" s="71"/>
      <c r="D22" s="72"/>
      <c r="E22" s="72">
        <f t="shared" ref="E22" si="6">SUM(G22:X22)</f>
        <v>18</v>
      </c>
      <c r="F22" s="73"/>
      <c r="G22" s="71"/>
      <c r="H22" s="72">
        <v>2</v>
      </c>
      <c r="I22" s="72"/>
      <c r="J22" s="72">
        <v>2</v>
      </c>
      <c r="K22" s="74"/>
      <c r="L22" s="75">
        <v>2</v>
      </c>
      <c r="M22" s="75"/>
      <c r="N22" s="75">
        <v>2</v>
      </c>
      <c r="O22" s="75"/>
      <c r="P22" s="75">
        <v>2</v>
      </c>
      <c r="Q22" s="75"/>
      <c r="R22" s="75">
        <v>2</v>
      </c>
      <c r="S22" s="75"/>
      <c r="T22" s="75">
        <v>2</v>
      </c>
      <c r="U22" s="75"/>
      <c r="V22" s="75">
        <v>2</v>
      </c>
      <c r="W22" s="75"/>
      <c r="X22" s="73">
        <v>2</v>
      </c>
      <c r="Y22" s="71"/>
      <c r="Z22" s="72"/>
      <c r="AA22" s="72"/>
      <c r="AB22" s="72"/>
      <c r="AC22" s="72"/>
      <c r="AD22" s="72"/>
      <c r="AE22" s="76" t="s">
        <v>25</v>
      </c>
      <c r="AM22" s="12"/>
      <c r="AN22" s="96"/>
      <c r="AO22" s="105"/>
      <c r="AP22" s="105"/>
      <c r="AQ22" s="11"/>
      <c r="AR22" s="11"/>
    </row>
    <row r="23" spans="1:44" s="4" customFormat="1" ht="19.5" thickBot="1" x14ac:dyDescent="0.35">
      <c r="A23" s="98"/>
      <c r="B23" s="89"/>
      <c r="C23" s="79"/>
      <c r="D23" s="80"/>
      <c r="E23" s="80"/>
      <c r="F23" s="81">
        <f t="shared" ref="F23" si="7">SUM(G23:X23)</f>
        <v>0</v>
      </c>
      <c r="G23" s="79"/>
      <c r="H23" s="80"/>
      <c r="I23" s="80"/>
      <c r="J23" s="80"/>
      <c r="K23" s="79"/>
      <c r="L23" s="80"/>
      <c r="M23" s="80"/>
      <c r="N23" s="80"/>
      <c r="O23" s="80"/>
      <c r="P23" s="80"/>
      <c r="Q23" s="79"/>
      <c r="R23" s="79"/>
      <c r="S23" s="80"/>
      <c r="T23" s="80"/>
      <c r="U23" s="80"/>
      <c r="V23" s="80"/>
      <c r="W23" s="80"/>
      <c r="X23" s="81"/>
      <c r="Y23" s="79"/>
      <c r="Z23" s="80"/>
      <c r="AA23" s="80"/>
      <c r="AB23" s="80"/>
      <c r="AC23" s="80"/>
      <c r="AD23" s="80"/>
      <c r="AE23" s="81">
        <v>36</v>
      </c>
      <c r="AM23" s="12"/>
      <c r="AN23" s="96"/>
      <c r="AO23" s="105"/>
      <c r="AP23" s="105"/>
      <c r="AQ23" s="11"/>
      <c r="AR23" s="11"/>
    </row>
    <row r="24" spans="1:44" ht="19.5" x14ac:dyDescent="0.3">
      <c r="A24" s="82">
        <v>30</v>
      </c>
      <c r="B24" s="83" t="s">
        <v>35</v>
      </c>
      <c r="C24" s="64">
        <f t="shared" ref="C24" si="8">SUM(D24:F26)</f>
        <v>54</v>
      </c>
      <c r="D24" s="65">
        <f t="shared" ref="D24" si="9">SUM(G24:X24)</f>
        <v>18</v>
      </c>
      <c r="E24" s="65"/>
      <c r="F24" s="66"/>
      <c r="G24" s="64">
        <v>2</v>
      </c>
      <c r="H24" s="65"/>
      <c r="I24" s="65">
        <v>2</v>
      </c>
      <c r="J24" s="65"/>
      <c r="K24" s="64">
        <v>2</v>
      </c>
      <c r="L24" s="65"/>
      <c r="M24" s="65">
        <v>2</v>
      </c>
      <c r="N24" s="65"/>
      <c r="O24" s="65">
        <v>2</v>
      </c>
      <c r="P24" s="65"/>
      <c r="Q24" s="64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6"/>
      <c r="Y24" s="64"/>
      <c r="Z24" s="65"/>
      <c r="AA24" s="65"/>
      <c r="AB24" s="65"/>
      <c r="AC24" s="65"/>
      <c r="AD24" s="65"/>
      <c r="AE24" s="66" t="s">
        <v>18</v>
      </c>
    </row>
    <row r="25" spans="1:44" x14ac:dyDescent="0.3">
      <c r="A25" s="84"/>
      <c r="B25" s="85"/>
      <c r="C25" s="71"/>
      <c r="D25" s="72"/>
      <c r="E25" s="72">
        <f t="shared" ref="E25" si="10">SUM(G25:X25)</f>
        <v>36</v>
      </c>
      <c r="F25" s="73"/>
      <c r="G25" s="71"/>
      <c r="H25" s="71">
        <v>4</v>
      </c>
      <c r="I25" s="71"/>
      <c r="J25" s="71">
        <v>4</v>
      </c>
      <c r="K25" s="71"/>
      <c r="L25" s="71">
        <v>4</v>
      </c>
      <c r="M25" s="71"/>
      <c r="N25" s="71">
        <v>4</v>
      </c>
      <c r="O25" s="71"/>
      <c r="P25" s="71">
        <v>4</v>
      </c>
      <c r="Q25" s="71"/>
      <c r="R25" s="71">
        <v>4</v>
      </c>
      <c r="S25" s="71"/>
      <c r="T25" s="71">
        <v>4</v>
      </c>
      <c r="U25" s="71"/>
      <c r="V25" s="71">
        <v>4</v>
      </c>
      <c r="W25" s="71"/>
      <c r="X25" s="73">
        <v>4</v>
      </c>
      <c r="Y25" s="71"/>
      <c r="Z25" s="72"/>
      <c r="AA25" s="72"/>
      <c r="AB25" s="72"/>
      <c r="AC25" s="72"/>
      <c r="AD25" s="72"/>
      <c r="AE25" s="76"/>
    </row>
    <row r="26" spans="1:44" ht="19.5" thickBot="1" x14ac:dyDescent="0.35">
      <c r="A26" s="98"/>
      <c r="B26" s="89"/>
      <c r="C26" s="79"/>
      <c r="D26" s="80"/>
      <c r="E26" s="80"/>
      <c r="F26" s="81">
        <f t="shared" ref="F26" si="11">SUM(G26:X26)</f>
        <v>0</v>
      </c>
      <c r="G26" s="79"/>
      <c r="H26" s="80"/>
      <c r="I26" s="80"/>
      <c r="J26" s="80"/>
      <c r="K26" s="79"/>
      <c r="L26" s="80"/>
      <c r="M26" s="80"/>
      <c r="N26" s="80"/>
      <c r="O26" s="80"/>
      <c r="P26" s="80"/>
      <c r="Q26" s="79"/>
      <c r="R26" s="79"/>
      <c r="S26" s="80"/>
      <c r="T26" s="80"/>
      <c r="U26" s="80"/>
      <c r="V26" s="80"/>
      <c r="W26" s="80"/>
      <c r="X26" s="81"/>
      <c r="Y26" s="86"/>
      <c r="Z26" s="87"/>
      <c r="AA26" s="87"/>
      <c r="AB26" s="87"/>
      <c r="AC26" s="87"/>
      <c r="AD26" s="87"/>
      <c r="AE26" s="81">
        <v>9</v>
      </c>
    </row>
    <row r="27" spans="1:44" s="4" customFormat="1" ht="19.5" thickBot="1" x14ac:dyDescent="0.35">
      <c r="A27" s="101" t="s">
        <v>40</v>
      </c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3"/>
      <c r="AM27" s="12"/>
      <c r="AN27" s="96"/>
      <c r="AO27" s="105"/>
      <c r="AP27" s="105"/>
      <c r="AQ27" s="11"/>
      <c r="AR27" s="11"/>
    </row>
    <row r="28" spans="1:44" s="4" customFormat="1" ht="19.5" x14ac:dyDescent="0.3">
      <c r="A28" s="82">
        <v>30</v>
      </c>
      <c r="B28" s="83" t="s">
        <v>34</v>
      </c>
      <c r="C28" s="64">
        <f t="shared" ref="C28" si="12">SUM(D28:F30)</f>
        <v>36</v>
      </c>
      <c r="D28" s="65">
        <f t="shared" ref="D28" si="13">SUM(G28:X28)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6"/>
      <c r="Y28" s="64"/>
      <c r="Z28" s="65"/>
      <c r="AA28" s="65"/>
      <c r="AB28" s="65"/>
      <c r="AC28" s="65"/>
      <c r="AD28" s="65"/>
      <c r="AE28" s="66" t="s">
        <v>19</v>
      </c>
      <c r="AM28" s="11"/>
      <c r="AN28" s="11"/>
      <c r="AO28" s="11"/>
      <c r="AP28" s="11"/>
      <c r="AQ28" s="11"/>
      <c r="AR28" s="11"/>
    </row>
    <row r="29" spans="1:44" s="4" customFormat="1" x14ac:dyDescent="0.3">
      <c r="A29" s="84"/>
      <c r="B29" s="85"/>
      <c r="C29" s="71"/>
      <c r="D29" s="72"/>
      <c r="E29" s="72">
        <f t="shared" ref="E29" si="14">SUM(G29:X29)</f>
        <v>18</v>
      </c>
      <c r="F29" s="73"/>
      <c r="G29" s="71"/>
      <c r="H29" s="71">
        <v>2</v>
      </c>
      <c r="I29" s="71"/>
      <c r="J29" s="71">
        <v>2</v>
      </c>
      <c r="K29" s="71"/>
      <c r="L29" s="71">
        <v>2</v>
      </c>
      <c r="M29" s="71"/>
      <c r="N29" s="71">
        <v>2</v>
      </c>
      <c r="O29" s="71"/>
      <c r="P29" s="71">
        <v>2</v>
      </c>
      <c r="Q29" s="71"/>
      <c r="R29" s="71">
        <v>2</v>
      </c>
      <c r="S29" s="71"/>
      <c r="T29" s="71">
        <v>2</v>
      </c>
      <c r="U29" s="71"/>
      <c r="V29" s="71">
        <v>2</v>
      </c>
      <c r="W29" s="71"/>
      <c r="X29" s="90">
        <v>2</v>
      </c>
      <c r="Y29" s="91"/>
      <c r="Z29" s="72"/>
      <c r="AA29" s="72"/>
      <c r="AB29" s="72"/>
      <c r="AC29" s="72"/>
      <c r="AD29" s="72"/>
      <c r="AE29" s="76" t="s">
        <v>25</v>
      </c>
      <c r="AM29" s="12"/>
      <c r="AN29" s="96"/>
      <c r="AO29" s="105"/>
      <c r="AP29" s="105"/>
      <c r="AQ29" s="11"/>
      <c r="AR29" s="11"/>
    </row>
    <row r="30" spans="1:44" s="4" customFormat="1" ht="19.5" thickBot="1" x14ac:dyDescent="0.35">
      <c r="A30" s="88"/>
      <c r="B30" s="89"/>
      <c r="C30" s="79"/>
      <c r="D30" s="80"/>
      <c r="E30" s="80"/>
      <c r="F30" s="81">
        <f t="shared" ref="F30" si="15">SUM(G30:X30)</f>
        <v>0</v>
      </c>
      <c r="G30" s="86"/>
      <c r="H30" s="87"/>
      <c r="I30" s="86"/>
      <c r="J30" s="79"/>
      <c r="K30" s="86"/>
      <c r="L30" s="72"/>
      <c r="M30" s="72"/>
      <c r="N30" s="72"/>
      <c r="O30" s="72"/>
      <c r="P30" s="72"/>
      <c r="Q30" s="71"/>
      <c r="R30" s="71"/>
      <c r="S30" s="72"/>
      <c r="T30" s="72"/>
      <c r="U30" s="72"/>
      <c r="V30" s="72"/>
      <c r="W30" s="72"/>
      <c r="X30" s="73"/>
      <c r="Y30" s="71"/>
      <c r="Z30" s="72"/>
      <c r="AA30" s="72"/>
      <c r="AB30" s="72"/>
      <c r="AC30" s="72"/>
      <c r="AD30" s="72"/>
      <c r="AE30" s="81">
        <v>36</v>
      </c>
      <c r="AM30" s="12"/>
      <c r="AN30" s="96"/>
      <c r="AO30" s="105"/>
      <c r="AP30" s="105"/>
      <c r="AQ30" s="11"/>
      <c r="AR30" s="11"/>
    </row>
    <row r="31" spans="1:44" s="4" customFormat="1" ht="19.5" x14ac:dyDescent="0.3">
      <c r="A31" s="82">
        <v>30</v>
      </c>
      <c r="B31" s="83" t="s">
        <v>35</v>
      </c>
      <c r="C31" s="64">
        <f t="shared" ref="C31" si="16">SUM(D31:F33)</f>
        <v>54</v>
      </c>
      <c r="D31" s="65">
        <f t="shared" ref="D31" si="17">SUM(G31:X31)</f>
        <v>18</v>
      </c>
      <c r="E31" s="65"/>
      <c r="F31" s="66"/>
      <c r="G31" s="67">
        <v>2</v>
      </c>
      <c r="H31" s="68"/>
      <c r="I31" s="68">
        <v>2</v>
      </c>
      <c r="J31" s="67"/>
      <c r="K31" s="64">
        <v>2</v>
      </c>
      <c r="L31" s="65"/>
      <c r="M31" s="65">
        <v>2</v>
      </c>
      <c r="N31" s="65"/>
      <c r="O31" s="65">
        <v>2</v>
      </c>
      <c r="P31" s="65"/>
      <c r="Q31" s="64">
        <v>2</v>
      </c>
      <c r="R31" s="64"/>
      <c r="S31" s="65">
        <v>2</v>
      </c>
      <c r="T31" s="65"/>
      <c r="U31" s="65">
        <v>2</v>
      </c>
      <c r="V31" s="65"/>
      <c r="W31" s="65">
        <v>2</v>
      </c>
      <c r="X31" s="66"/>
      <c r="Y31" s="64"/>
      <c r="Z31" s="65"/>
      <c r="AA31" s="65"/>
      <c r="AB31" s="65"/>
      <c r="AC31" s="65"/>
      <c r="AD31" s="65"/>
      <c r="AE31" s="66" t="s">
        <v>18</v>
      </c>
      <c r="AM31" s="11"/>
      <c r="AN31" s="11"/>
      <c r="AO31" s="11"/>
      <c r="AP31" s="11"/>
      <c r="AQ31" s="11"/>
      <c r="AR31" s="11"/>
    </row>
    <row r="32" spans="1:44" s="4" customFormat="1" x14ac:dyDescent="0.3">
      <c r="A32" s="84"/>
      <c r="B32" s="85"/>
      <c r="C32" s="71"/>
      <c r="D32" s="72"/>
      <c r="E32" s="72">
        <f t="shared" ref="E32" si="18">SUM(G32:X32)</f>
        <v>36</v>
      </c>
      <c r="F32" s="73"/>
      <c r="G32" s="71"/>
      <c r="H32" s="72">
        <v>4</v>
      </c>
      <c r="I32" s="72"/>
      <c r="J32" s="71">
        <v>4</v>
      </c>
      <c r="K32" s="74"/>
      <c r="L32" s="75">
        <v>4</v>
      </c>
      <c r="M32" s="75"/>
      <c r="N32" s="75">
        <v>4</v>
      </c>
      <c r="O32" s="75"/>
      <c r="P32" s="75">
        <v>4</v>
      </c>
      <c r="Q32" s="71"/>
      <c r="R32" s="71">
        <v>4</v>
      </c>
      <c r="S32" s="72"/>
      <c r="T32" s="72">
        <v>4</v>
      </c>
      <c r="U32" s="72"/>
      <c r="V32" s="72">
        <v>4</v>
      </c>
      <c r="W32" s="72"/>
      <c r="X32" s="73">
        <v>4</v>
      </c>
      <c r="Y32" s="71"/>
      <c r="Z32" s="72"/>
      <c r="AA32" s="72"/>
      <c r="AB32" s="72"/>
      <c r="AC32" s="72"/>
      <c r="AD32" s="72"/>
      <c r="AE32" s="76"/>
      <c r="AM32" s="12"/>
      <c r="AN32" s="96"/>
      <c r="AO32" s="105"/>
      <c r="AP32" s="105"/>
      <c r="AQ32" s="11"/>
      <c r="AR32" s="11"/>
    </row>
    <row r="33" spans="1:44" s="4" customFormat="1" ht="19.5" thickBot="1" x14ac:dyDescent="0.35">
      <c r="A33" s="88"/>
      <c r="B33" s="89"/>
      <c r="C33" s="79"/>
      <c r="D33" s="80"/>
      <c r="E33" s="80"/>
      <c r="F33" s="81">
        <f t="shared" ref="F33" si="19">SUM(G33:X33)</f>
        <v>0</v>
      </c>
      <c r="G33" s="79"/>
      <c r="H33" s="80"/>
      <c r="I33" s="80"/>
      <c r="J33" s="79"/>
      <c r="K33" s="79"/>
      <c r="L33" s="80"/>
      <c r="M33" s="80"/>
      <c r="N33" s="80"/>
      <c r="O33" s="80"/>
      <c r="P33" s="80"/>
      <c r="Q33" s="86"/>
      <c r="R33" s="86"/>
      <c r="S33" s="87"/>
      <c r="T33" s="87"/>
      <c r="U33" s="87"/>
      <c r="V33" s="87"/>
      <c r="W33" s="87"/>
      <c r="X33" s="92"/>
      <c r="Y33" s="86"/>
      <c r="Z33" s="87"/>
      <c r="AA33" s="87"/>
      <c r="AB33" s="87"/>
      <c r="AC33" s="87"/>
      <c r="AD33" s="87"/>
      <c r="AE33" s="81">
        <v>9</v>
      </c>
      <c r="AM33" s="12"/>
      <c r="AN33" s="96"/>
      <c r="AO33" s="105"/>
      <c r="AP33" s="105"/>
      <c r="AQ33" s="11"/>
      <c r="AR33" s="11"/>
    </row>
    <row r="34" spans="1:44" s="4" customFormat="1" ht="37.5" x14ac:dyDescent="0.3">
      <c r="A34" s="82">
        <v>30</v>
      </c>
      <c r="B34" s="83" t="s">
        <v>37</v>
      </c>
      <c r="C34" s="64">
        <f t="shared" ref="C34" si="20">SUM(D34:F36)</f>
        <v>36</v>
      </c>
      <c r="D34" s="65">
        <f t="shared" ref="D34" si="21">SUM(G34:X34)</f>
        <v>18</v>
      </c>
      <c r="E34" s="65"/>
      <c r="F34" s="66"/>
      <c r="G34" s="67">
        <v>2</v>
      </c>
      <c r="H34" s="68"/>
      <c r="I34" s="68">
        <v>2</v>
      </c>
      <c r="J34" s="67"/>
      <c r="K34" s="64">
        <v>2</v>
      </c>
      <c r="L34" s="65"/>
      <c r="M34" s="65">
        <v>2</v>
      </c>
      <c r="N34" s="65"/>
      <c r="O34" s="65">
        <v>2</v>
      </c>
      <c r="P34" s="65"/>
      <c r="Q34" s="64">
        <v>2</v>
      </c>
      <c r="R34" s="64"/>
      <c r="S34" s="65">
        <v>2</v>
      </c>
      <c r="T34" s="65"/>
      <c r="U34" s="65">
        <v>2</v>
      </c>
      <c r="V34" s="65"/>
      <c r="W34" s="65">
        <v>2</v>
      </c>
      <c r="X34" s="66"/>
      <c r="Y34" s="64"/>
      <c r="Z34" s="65"/>
      <c r="AA34" s="65"/>
      <c r="AB34" s="65"/>
      <c r="AC34" s="65"/>
      <c r="AD34" s="65"/>
      <c r="AE34" s="66" t="s">
        <v>18</v>
      </c>
      <c r="AM34" s="11"/>
      <c r="AN34" s="11"/>
      <c r="AO34" s="11"/>
      <c r="AP34" s="11"/>
      <c r="AQ34" s="11"/>
      <c r="AR34" s="11"/>
    </row>
    <row r="35" spans="1:44" s="4" customFormat="1" x14ac:dyDescent="0.3">
      <c r="A35" s="84"/>
      <c r="B35" s="85"/>
      <c r="C35" s="71"/>
      <c r="D35" s="72"/>
      <c r="E35" s="72">
        <f t="shared" ref="E35" si="22">SUM(G35:X35)</f>
        <v>18</v>
      </c>
      <c r="F35" s="73"/>
      <c r="G35" s="71"/>
      <c r="H35" s="71">
        <v>2</v>
      </c>
      <c r="I35" s="71"/>
      <c r="J35" s="71">
        <v>2</v>
      </c>
      <c r="K35" s="71"/>
      <c r="L35" s="71">
        <v>2</v>
      </c>
      <c r="M35" s="71"/>
      <c r="N35" s="71">
        <v>2</v>
      </c>
      <c r="O35" s="71"/>
      <c r="P35" s="71">
        <v>2</v>
      </c>
      <c r="Q35" s="71"/>
      <c r="R35" s="71">
        <v>2</v>
      </c>
      <c r="S35" s="71"/>
      <c r="T35" s="71">
        <v>2</v>
      </c>
      <c r="U35" s="71"/>
      <c r="V35" s="71">
        <v>2</v>
      </c>
      <c r="W35" s="71"/>
      <c r="X35" s="73">
        <v>2</v>
      </c>
      <c r="Y35" s="71"/>
      <c r="Z35" s="72"/>
      <c r="AA35" s="72"/>
      <c r="AB35" s="72"/>
      <c r="AC35" s="72"/>
      <c r="AD35" s="72"/>
      <c r="AE35" s="76"/>
      <c r="AM35" s="12"/>
      <c r="AN35" s="96"/>
      <c r="AO35" s="105"/>
      <c r="AP35" s="105"/>
      <c r="AQ35" s="11"/>
      <c r="AR35" s="11"/>
    </row>
    <row r="36" spans="1:44" s="4" customFormat="1" ht="19.5" thickBot="1" x14ac:dyDescent="0.35">
      <c r="A36" s="88"/>
      <c r="B36" s="89"/>
      <c r="C36" s="79"/>
      <c r="D36" s="80"/>
      <c r="E36" s="80"/>
      <c r="F36" s="81">
        <f t="shared" ref="F36" si="23">SUM(G36:X36)</f>
        <v>0</v>
      </c>
      <c r="G36" s="86"/>
      <c r="H36" s="87"/>
      <c r="I36" s="86"/>
      <c r="J36" s="79"/>
      <c r="K36" s="86"/>
      <c r="L36" s="72"/>
      <c r="M36" s="72"/>
      <c r="N36" s="72"/>
      <c r="O36" s="72"/>
      <c r="P36" s="72"/>
      <c r="Q36" s="71"/>
      <c r="R36" s="71"/>
      <c r="S36" s="72"/>
      <c r="T36" s="72"/>
      <c r="U36" s="72"/>
      <c r="V36" s="72"/>
      <c r="W36" s="72"/>
      <c r="X36" s="73"/>
      <c r="Y36" s="86"/>
      <c r="Z36" s="87"/>
      <c r="AA36" s="87"/>
      <c r="AB36" s="87"/>
      <c r="AC36" s="87"/>
      <c r="AD36" s="87"/>
      <c r="AE36" s="81">
        <v>9</v>
      </c>
      <c r="AM36" s="12"/>
      <c r="AN36" s="96"/>
      <c r="AO36" s="105"/>
      <c r="AP36" s="105"/>
      <c r="AQ36" s="11"/>
      <c r="AR36" s="11"/>
    </row>
    <row r="37" spans="1:44" s="4" customFormat="1" ht="56.25" x14ac:dyDescent="0.3">
      <c r="A37" s="82">
        <v>30</v>
      </c>
      <c r="B37" s="83" t="s">
        <v>32</v>
      </c>
      <c r="C37" s="64">
        <f t="shared" ref="C37" si="24">SUM(D37:F39)</f>
        <v>36</v>
      </c>
      <c r="D37" s="65">
        <f t="shared" ref="D37" si="25">SUM(G37:X37)</f>
        <v>18</v>
      </c>
      <c r="E37" s="65"/>
      <c r="F37" s="66"/>
      <c r="G37" s="67">
        <v>2</v>
      </c>
      <c r="H37" s="68"/>
      <c r="I37" s="68">
        <v>2</v>
      </c>
      <c r="J37" s="67"/>
      <c r="K37" s="64">
        <v>2</v>
      </c>
      <c r="L37" s="65"/>
      <c r="M37" s="65">
        <v>2</v>
      </c>
      <c r="N37" s="65"/>
      <c r="O37" s="65">
        <v>2</v>
      </c>
      <c r="P37" s="65"/>
      <c r="Q37" s="64">
        <v>2</v>
      </c>
      <c r="R37" s="64"/>
      <c r="S37" s="65">
        <v>2</v>
      </c>
      <c r="T37" s="65"/>
      <c r="U37" s="65">
        <v>2</v>
      </c>
      <c r="V37" s="65"/>
      <c r="W37" s="65">
        <v>2</v>
      </c>
      <c r="X37" s="66"/>
      <c r="Y37" s="64"/>
      <c r="Z37" s="65"/>
      <c r="AA37" s="65"/>
      <c r="AB37" s="65"/>
      <c r="AC37" s="65"/>
      <c r="AD37" s="65"/>
      <c r="AE37" s="66" t="s">
        <v>19</v>
      </c>
      <c r="AM37" s="11"/>
      <c r="AN37" s="11"/>
      <c r="AO37" s="11"/>
      <c r="AP37" s="11"/>
      <c r="AQ37" s="11"/>
      <c r="AR37" s="11"/>
    </row>
    <row r="38" spans="1:44" s="4" customFormat="1" x14ac:dyDescent="0.3">
      <c r="A38" s="84"/>
      <c r="B38" s="85"/>
      <c r="C38" s="71"/>
      <c r="D38" s="72"/>
      <c r="E38" s="72">
        <f t="shared" ref="E38" si="26">SUM(G38:X38)</f>
        <v>18</v>
      </c>
      <c r="F38" s="73"/>
      <c r="G38" s="71"/>
      <c r="H38" s="71">
        <v>2</v>
      </c>
      <c r="I38" s="71"/>
      <c r="J38" s="71">
        <v>2</v>
      </c>
      <c r="K38" s="71"/>
      <c r="L38" s="71">
        <v>2</v>
      </c>
      <c r="M38" s="71"/>
      <c r="N38" s="71">
        <v>2</v>
      </c>
      <c r="O38" s="71"/>
      <c r="P38" s="71">
        <v>2</v>
      </c>
      <c r="Q38" s="71"/>
      <c r="R38" s="71">
        <v>2</v>
      </c>
      <c r="S38" s="71"/>
      <c r="T38" s="71">
        <v>2</v>
      </c>
      <c r="U38" s="71"/>
      <c r="V38" s="71">
        <v>2</v>
      </c>
      <c r="W38" s="71"/>
      <c r="X38" s="73">
        <v>2</v>
      </c>
      <c r="Y38" s="71"/>
      <c r="Z38" s="72"/>
      <c r="AA38" s="72"/>
      <c r="AB38" s="72"/>
      <c r="AC38" s="72"/>
      <c r="AD38" s="72"/>
      <c r="AE38" s="76"/>
      <c r="AM38" s="12"/>
      <c r="AN38" s="96"/>
      <c r="AO38" s="105"/>
      <c r="AP38" s="105"/>
      <c r="AQ38" s="11"/>
      <c r="AR38" s="11"/>
    </row>
    <row r="39" spans="1:44" s="4" customFormat="1" ht="19.5" thickBot="1" x14ac:dyDescent="0.35">
      <c r="A39" s="98"/>
      <c r="B39" s="89"/>
      <c r="C39" s="79"/>
      <c r="D39" s="80"/>
      <c r="E39" s="80"/>
      <c r="F39" s="81">
        <f t="shared" ref="F39" si="27">SUM(G39:X39)</f>
        <v>0</v>
      </c>
      <c r="G39" s="79"/>
      <c r="H39" s="80"/>
      <c r="I39" s="80"/>
      <c r="J39" s="79"/>
      <c r="K39" s="79"/>
      <c r="L39" s="80"/>
      <c r="M39" s="80"/>
      <c r="N39" s="80"/>
      <c r="O39" s="80"/>
      <c r="P39" s="80"/>
      <c r="Q39" s="86"/>
      <c r="R39" s="86"/>
      <c r="S39" s="87"/>
      <c r="T39" s="87"/>
      <c r="U39" s="87"/>
      <c r="V39" s="87"/>
      <c r="W39" s="87"/>
      <c r="X39" s="92"/>
      <c r="Y39" s="86"/>
      <c r="Z39" s="87"/>
      <c r="AA39" s="87"/>
      <c r="AB39" s="87"/>
      <c r="AC39" s="87"/>
      <c r="AD39" s="87"/>
      <c r="AE39" s="81">
        <v>36</v>
      </c>
      <c r="AM39" s="12"/>
      <c r="AN39" s="96"/>
      <c r="AO39" s="105"/>
      <c r="AP39" s="105"/>
      <c r="AQ39" s="11"/>
      <c r="AR39" s="11"/>
    </row>
    <row r="40" spans="1:44" ht="19.5" x14ac:dyDescent="0.3">
      <c r="A40" s="82">
        <v>30</v>
      </c>
      <c r="B40" s="83" t="s">
        <v>38</v>
      </c>
      <c r="C40" s="64">
        <f t="shared" ref="C40" si="28">SUM(D40:F42)</f>
        <v>54</v>
      </c>
      <c r="D40" s="65">
        <f t="shared" ref="D40" si="29">SUM(G40:X40)</f>
        <v>18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6"/>
      <c r="Y40" s="64"/>
      <c r="Z40" s="65"/>
      <c r="AA40" s="65"/>
      <c r="AB40" s="65"/>
      <c r="AC40" s="65"/>
      <c r="AD40" s="65"/>
      <c r="AE40" s="66" t="s">
        <v>19</v>
      </c>
    </row>
    <row r="41" spans="1:44" x14ac:dyDescent="0.3">
      <c r="A41" s="84"/>
      <c r="B41" s="85"/>
      <c r="C41" s="71"/>
      <c r="D41" s="72"/>
      <c r="E41" s="72">
        <f t="shared" ref="E41" si="30">SUM(G41:X41)</f>
        <v>36</v>
      </c>
      <c r="F41" s="73"/>
      <c r="G41" s="71">
        <v>2</v>
      </c>
      <c r="H41" s="71">
        <v>2</v>
      </c>
      <c r="I41" s="71">
        <v>2</v>
      </c>
      <c r="J41" s="71">
        <v>2</v>
      </c>
      <c r="K41" s="71">
        <v>2</v>
      </c>
      <c r="L41" s="71">
        <v>2</v>
      </c>
      <c r="M41" s="71">
        <v>2</v>
      </c>
      <c r="N41" s="71">
        <v>2</v>
      </c>
      <c r="O41" s="71">
        <v>2</v>
      </c>
      <c r="P41" s="71">
        <v>2</v>
      </c>
      <c r="Q41" s="71">
        <v>2</v>
      </c>
      <c r="R41" s="71">
        <v>2</v>
      </c>
      <c r="S41" s="71">
        <v>2</v>
      </c>
      <c r="T41" s="71">
        <v>2</v>
      </c>
      <c r="U41" s="71">
        <v>2</v>
      </c>
      <c r="V41" s="71">
        <v>2</v>
      </c>
      <c r="W41" s="71">
        <v>2</v>
      </c>
      <c r="X41" s="73">
        <v>2</v>
      </c>
      <c r="Y41" s="71"/>
      <c r="Z41" s="72"/>
      <c r="AA41" s="72"/>
      <c r="AB41" s="72"/>
      <c r="AC41" s="72"/>
      <c r="AD41" s="72"/>
      <c r="AE41" s="76" t="s">
        <v>25</v>
      </c>
    </row>
    <row r="42" spans="1:44" ht="19.5" thickBot="1" x14ac:dyDescent="0.35">
      <c r="A42" s="98"/>
      <c r="B42" s="89"/>
      <c r="C42" s="79"/>
      <c r="D42" s="80"/>
      <c r="E42" s="80"/>
      <c r="F42" s="81">
        <f t="shared" ref="F42" si="31">SUM(G42:X42)</f>
        <v>0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86"/>
      <c r="R42" s="86"/>
      <c r="S42" s="87"/>
      <c r="T42" s="87"/>
      <c r="U42" s="87"/>
      <c r="V42" s="87"/>
      <c r="W42" s="87"/>
      <c r="X42" s="92"/>
      <c r="Y42" s="86"/>
      <c r="Z42" s="87"/>
      <c r="AA42" s="87"/>
      <c r="AB42" s="87"/>
      <c r="AC42" s="87"/>
      <c r="AD42" s="87"/>
      <c r="AE42" s="81">
        <v>27</v>
      </c>
    </row>
    <row r="43" spans="1:44" ht="56.25" x14ac:dyDescent="0.3">
      <c r="A43" s="82">
        <v>30</v>
      </c>
      <c r="B43" s="83" t="s">
        <v>39</v>
      </c>
      <c r="C43" s="64">
        <f t="shared" ref="C43" si="32">SUM(D43:F45)</f>
        <v>18</v>
      </c>
      <c r="D43" s="65">
        <f t="shared" ref="D43" si="33">SUM(G43:X43)</f>
        <v>0</v>
      </c>
      <c r="E43" s="65"/>
      <c r="F43" s="66"/>
      <c r="G43" s="67"/>
      <c r="H43" s="68"/>
      <c r="I43" s="68"/>
      <c r="J43" s="67"/>
      <c r="K43" s="64"/>
      <c r="L43" s="65"/>
      <c r="M43" s="65"/>
      <c r="N43" s="65"/>
      <c r="O43" s="65"/>
      <c r="P43" s="65"/>
      <c r="Q43" s="64"/>
      <c r="R43" s="64"/>
      <c r="S43" s="65"/>
      <c r="T43" s="65"/>
      <c r="U43" s="65"/>
      <c r="V43" s="65"/>
      <c r="W43" s="65"/>
      <c r="X43" s="66"/>
      <c r="Y43" s="64"/>
      <c r="Z43" s="65"/>
      <c r="AA43" s="65"/>
      <c r="AB43" s="65"/>
      <c r="AC43" s="65"/>
      <c r="AD43" s="65"/>
      <c r="AE43" s="66" t="s">
        <v>18</v>
      </c>
    </row>
    <row r="44" spans="1:44" x14ac:dyDescent="0.3">
      <c r="A44" s="84"/>
      <c r="B44" s="85"/>
      <c r="C44" s="71"/>
      <c r="D44" s="72"/>
      <c r="E44" s="72">
        <f t="shared" ref="E44" si="34">SUM(G44:X44)</f>
        <v>18</v>
      </c>
      <c r="F44" s="73"/>
      <c r="G44" s="71"/>
      <c r="H44" s="72">
        <v>2</v>
      </c>
      <c r="I44" s="72"/>
      <c r="J44" s="71">
        <v>2</v>
      </c>
      <c r="K44" s="74"/>
      <c r="L44" s="75">
        <v>2</v>
      </c>
      <c r="M44" s="75"/>
      <c r="N44" s="75">
        <v>2</v>
      </c>
      <c r="O44" s="75"/>
      <c r="P44" s="75">
        <v>2</v>
      </c>
      <c r="Q44" s="71"/>
      <c r="R44" s="71">
        <v>2</v>
      </c>
      <c r="S44" s="72"/>
      <c r="T44" s="72">
        <v>2</v>
      </c>
      <c r="U44" s="72"/>
      <c r="V44" s="72">
        <v>2</v>
      </c>
      <c r="W44" s="72"/>
      <c r="X44" s="73">
        <v>2</v>
      </c>
      <c r="Y44" s="71"/>
      <c r="Z44" s="72"/>
      <c r="AA44" s="72"/>
      <c r="AB44" s="72"/>
      <c r="AC44" s="72"/>
      <c r="AD44" s="72"/>
      <c r="AE44" s="76"/>
    </row>
    <row r="45" spans="1:44" ht="19.5" thickBot="1" x14ac:dyDescent="0.35">
      <c r="A45" s="98"/>
      <c r="B45" s="89"/>
      <c r="C45" s="79"/>
      <c r="D45" s="80"/>
      <c r="E45" s="80"/>
      <c r="F45" s="81">
        <f t="shared" ref="F45" si="35">SUM(G45:X45)</f>
        <v>0</v>
      </c>
      <c r="G45" s="79"/>
      <c r="H45" s="80"/>
      <c r="I45" s="80"/>
      <c r="J45" s="79"/>
      <c r="K45" s="79"/>
      <c r="L45" s="80"/>
      <c r="M45" s="80"/>
      <c r="N45" s="80"/>
      <c r="O45" s="80"/>
      <c r="P45" s="80"/>
      <c r="Q45" s="86"/>
      <c r="R45" s="86"/>
      <c r="S45" s="87"/>
      <c r="T45" s="87"/>
      <c r="U45" s="87"/>
      <c r="V45" s="87"/>
      <c r="W45" s="87"/>
      <c r="X45" s="92"/>
      <c r="Y45" s="86"/>
      <c r="Z45" s="87"/>
      <c r="AA45" s="87"/>
      <c r="AB45" s="87"/>
      <c r="AC45" s="87"/>
      <c r="AD45" s="87"/>
      <c r="AE45" s="81">
        <v>9</v>
      </c>
    </row>
    <row r="46" spans="1:44" s="4" customFormat="1" ht="19.5" thickBot="1" x14ac:dyDescent="0.35">
      <c r="A46" s="104" t="s">
        <v>24</v>
      </c>
      <c r="B46" s="104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M46" s="11"/>
      <c r="AN46" s="11"/>
      <c r="AO46" s="11"/>
      <c r="AP46" s="11"/>
      <c r="AQ46" s="11"/>
      <c r="AR46" s="11"/>
    </row>
    <row r="47" spans="1:44" s="4" customFormat="1" ht="19.5" customHeight="1" thickBot="1" x14ac:dyDescent="0.35">
      <c r="A47" s="101" t="s">
        <v>27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3"/>
      <c r="AM47" s="12"/>
      <c r="AN47" s="96"/>
      <c r="AO47" s="105"/>
      <c r="AP47" s="105"/>
      <c r="AQ47" s="11"/>
      <c r="AR47" s="11"/>
    </row>
    <row r="48" spans="1:44" s="4" customFormat="1" ht="93.75" x14ac:dyDescent="0.3">
      <c r="A48" s="82">
        <v>30</v>
      </c>
      <c r="B48" s="83" t="s">
        <v>41</v>
      </c>
      <c r="C48" s="64">
        <f>SUM(D48:F50)</f>
        <v>72</v>
      </c>
      <c r="D48" s="65">
        <f>SUM(G48:X48)</f>
        <v>36</v>
      </c>
      <c r="E48" s="65"/>
      <c r="F48" s="66"/>
      <c r="G48" s="67">
        <v>2</v>
      </c>
      <c r="H48" s="67">
        <v>2</v>
      </c>
      <c r="I48" s="67">
        <v>2</v>
      </c>
      <c r="J48" s="67">
        <v>2</v>
      </c>
      <c r="K48" s="67">
        <v>2</v>
      </c>
      <c r="L48" s="67">
        <v>2</v>
      </c>
      <c r="M48" s="67">
        <v>2</v>
      </c>
      <c r="N48" s="67">
        <v>2</v>
      </c>
      <c r="O48" s="67">
        <v>2</v>
      </c>
      <c r="P48" s="67">
        <v>2</v>
      </c>
      <c r="Q48" s="67">
        <v>2</v>
      </c>
      <c r="R48" s="67">
        <v>2</v>
      </c>
      <c r="S48" s="67">
        <v>2</v>
      </c>
      <c r="T48" s="67">
        <v>2</v>
      </c>
      <c r="U48" s="67">
        <v>2</v>
      </c>
      <c r="V48" s="67">
        <v>2</v>
      </c>
      <c r="W48" s="67">
        <v>2</v>
      </c>
      <c r="X48" s="66">
        <v>2</v>
      </c>
      <c r="Y48" s="64"/>
      <c r="Z48" s="65"/>
      <c r="AA48" s="65"/>
      <c r="AB48" s="65"/>
      <c r="AC48" s="65"/>
      <c r="AD48" s="65"/>
      <c r="AE48" s="66" t="s">
        <v>19</v>
      </c>
      <c r="AM48" s="11"/>
      <c r="AN48" s="11"/>
      <c r="AO48" s="11"/>
      <c r="AP48" s="11"/>
      <c r="AQ48" s="11"/>
      <c r="AR48" s="11"/>
    </row>
    <row r="49" spans="1:44" s="4" customFormat="1" x14ac:dyDescent="0.3">
      <c r="A49" s="84"/>
      <c r="B49" s="85"/>
      <c r="C49" s="71"/>
      <c r="D49" s="72"/>
      <c r="E49" s="72">
        <f>SUM(G49:X49)</f>
        <v>36</v>
      </c>
      <c r="F49" s="73"/>
      <c r="G49" s="71">
        <v>2</v>
      </c>
      <c r="H49" s="71">
        <v>2</v>
      </c>
      <c r="I49" s="71">
        <v>2</v>
      </c>
      <c r="J49" s="71">
        <v>2</v>
      </c>
      <c r="K49" s="71">
        <v>2</v>
      </c>
      <c r="L49" s="71">
        <v>2</v>
      </c>
      <c r="M49" s="71">
        <v>2</v>
      </c>
      <c r="N49" s="71">
        <v>2</v>
      </c>
      <c r="O49" s="71">
        <v>2</v>
      </c>
      <c r="P49" s="71">
        <v>2</v>
      </c>
      <c r="Q49" s="71">
        <v>2</v>
      </c>
      <c r="R49" s="71">
        <v>2</v>
      </c>
      <c r="S49" s="71">
        <v>2</v>
      </c>
      <c r="T49" s="71">
        <v>2</v>
      </c>
      <c r="U49" s="71">
        <v>2</v>
      </c>
      <c r="V49" s="71">
        <v>2</v>
      </c>
      <c r="W49" s="71">
        <v>2</v>
      </c>
      <c r="X49" s="90">
        <v>2</v>
      </c>
      <c r="Y49" s="91"/>
      <c r="Z49" s="72"/>
      <c r="AA49" s="72"/>
      <c r="AB49" s="72"/>
      <c r="AC49" s="72"/>
      <c r="AD49" s="72"/>
      <c r="AE49" s="76" t="s">
        <v>42</v>
      </c>
      <c r="AM49" s="12"/>
      <c r="AN49" s="96"/>
      <c r="AO49" s="105"/>
      <c r="AP49" s="105"/>
      <c r="AQ49" s="11"/>
      <c r="AR49" s="11"/>
    </row>
    <row r="50" spans="1:44" s="4" customFormat="1" ht="19.5" thickBot="1" x14ac:dyDescent="0.35">
      <c r="A50" s="84"/>
      <c r="B50" s="85"/>
      <c r="C50" s="79"/>
      <c r="D50" s="80"/>
      <c r="E50" s="80"/>
      <c r="F50" s="81">
        <f>SUM(G50:X50)</f>
        <v>0</v>
      </c>
      <c r="G50" s="86"/>
      <c r="H50" s="87"/>
      <c r="I50" s="86"/>
      <c r="J50" s="79"/>
      <c r="K50" s="86"/>
      <c r="L50" s="72"/>
      <c r="M50" s="72"/>
      <c r="N50" s="72"/>
      <c r="O50" s="72"/>
      <c r="P50" s="72"/>
      <c r="Q50" s="71"/>
      <c r="R50" s="71"/>
      <c r="S50" s="72"/>
      <c r="T50" s="72"/>
      <c r="U50" s="72"/>
      <c r="V50" s="72"/>
      <c r="W50" s="72"/>
      <c r="X50" s="73"/>
      <c r="Y50" s="71"/>
      <c r="Z50" s="72"/>
      <c r="AA50" s="72"/>
      <c r="AB50" s="72"/>
      <c r="AC50" s="72"/>
      <c r="AD50" s="72"/>
      <c r="AE50" s="81">
        <v>27</v>
      </c>
      <c r="AM50" s="12"/>
      <c r="AN50" s="96"/>
      <c r="AO50" s="105"/>
      <c r="AP50" s="105"/>
      <c r="AQ50" s="11"/>
      <c r="AR50" s="11"/>
    </row>
    <row r="51" spans="1:44" s="4" customFormat="1" ht="37.5" x14ac:dyDescent="0.3">
      <c r="A51" s="62">
        <v>30</v>
      </c>
      <c r="B51" s="63" t="s">
        <v>43</v>
      </c>
      <c r="C51" s="64">
        <f>SUM(D51:F53)</f>
        <v>54</v>
      </c>
      <c r="D51" s="65">
        <f>SUM(G51:X51)</f>
        <v>18</v>
      </c>
      <c r="E51" s="65"/>
      <c r="F51" s="66"/>
      <c r="G51" s="64">
        <v>2</v>
      </c>
      <c r="H51" s="65"/>
      <c r="I51" s="65">
        <v>2</v>
      </c>
      <c r="J51" s="65"/>
      <c r="K51" s="64">
        <v>2</v>
      </c>
      <c r="L51" s="65"/>
      <c r="M51" s="65">
        <v>2</v>
      </c>
      <c r="N51" s="65"/>
      <c r="O51" s="65">
        <v>2</v>
      </c>
      <c r="P51" s="65"/>
      <c r="Q51" s="64">
        <v>2</v>
      </c>
      <c r="R51" s="64"/>
      <c r="S51" s="65">
        <v>2</v>
      </c>
      <c r="T51" s="65"/>
      <c r="U51" s="65">
        <v>2</v>
      </c>
      <c r="V51" s="65"/>
      <c r="W51" s="65">
        <v>2</v>
      </c>
      <c r="X51" s="66"/>
      <c r="Y51" s="64"/>
      <c r="Z51" s="65"/>
      <c r="AA51" s="65"/>
      <c r="AB51" s="65"/>
      <c r="AC51" s="65"/>
      <c r="AD51" s="65"/>
      <c r="AE51" s="66" t="s">
        <v>19</v>
      </c>
    </row>
    <row r="52" spans="1:44" s="4" customFormat="1" ht="19.5" x14ac:dyDescent="0.3">
      <c r="A52" s="69"/>
      <c r="B52" s="70"/>
      <c r="C52" s="71"/>
      <c r="D52" s="72"/>
      <c r="E52" s="72">
        <f>SUM(G52:X52)</f>
        <v>36</v>
      </c>
      <c r="F52" s="73"/>
      <c r="G52" s="71"/>
      <c r="H52" s="71">
        <v>4</v>
      </c>
      <c r="I52" s="71"/>
      <c r="J52" s="71">
        <v>4</v>
      </c>
      <c r="K52" s="71"/>
      <c r="L52" s="71">
        <v>4</v>
      </c>
      <c r="M52" s="71"/>
      <c r="N52" s="71">
        <v>4</v>
      </c>
      <c r="O52" s="71"/>
      <c r="P52" s="71">
        <v>4</v>
      </c>
      <c r="Q52" s="71"/>
      <c r="R52" s="71">
        <v>4</v>
      </c>
      <c r="S52" s="71"/>
      <c r="T52" s="71">
        <v>4</v>
      </c>
      <c r="U52" s="71"/>
      <c r="V52" s="71">
        <v>4</v>
      </c>
      <c r="W52" s="71"/>
      <c r="X52" s="73">
        <v>4</v>
      </c>
      <c r="Y52" s="71"/>
      <c r="Z52" s="72"/>
      <c r="AA52" s="72"/>
      <c r="AB52" s="72"/>
      <c r="AC52" s="72"/>
      <c r="AD52" s="72"/>
      <c r="AE52" s="76" t="s">
        <v>25</v>
      </c>
    </row>
    <row r="53" spans="1:44" s="4" customFormat="1" ht="21.75" customHeight="1" thickBot="1" x14ac:dyDescent="0.35">
      <c r="A53" s="77"/>
      <c r="B53" s="78"/>
      <c r="C53" s="79"/>
      <c r="D53" s="80"/>
      <c r="E53" s="80"/>
      <c r="F53" s="81">
        <f>SUM(G53:X53)</f>
        <v>0</v>
      </c>
      <c r="G53" s="79"/>
      <c r="H53" s="80"/>
      <c r="I53" s="80"/>
      <c r="J53" s="80"/>
      <c r="K53" s="79"/>
      <c r="L53" s="80"/>
      <c r="M53" s="80"/>
      <c r="N53" s="80"/>
      <c r="O53" s="80"/>
      <c r="P53" s="80"/>
      <c r="Q53" s="79"/>
      <c r="R53" s="79"/>
      <c r="S53" s="80"/>
      <c r="T53" s="80"/>
      <c r="U53" s="80"/>
      <c r="V53" s="80"/>
      <c r="W53" s="80"/>
      <c r="X53" s="81"/>
      <c r="Y53" s="79"/>
      <c r="Z53" s="80"/>
      <c r="AA53" s="80"/>
      <c r="AB53" s="80"/>
      <c r="AC53" s="80"/>
      <c r="AD53" s="80"/>
      <c r="AE53" s="81">
        <v>27</v>
      </c>
      <c r="AM53" s="11"/>
      <c r="AN53" s="11"/>
      <c r="AO53" s="11"/>
      <c r="AP53" s="11"/>
      <c r="AQ53" s="11"/>
      <c r="AR53" s="11"/>
    </row>
    <row r="54" spans="1:44" s="4" customFormat="1" ht="56.25" x14ac:dyDescent="0.3">
      <c r="A54" s="82">
        <v>30</v>
      </c>
      <c r="B54" s="83" t="s">
        <v>44</v>
      </c>
      <c r="C54" s="64">
        <f>SUM(D54:F56)</f>
        <v>72</v>
      </c>
      <c r="D54" s="65">
        <f>SUM(G54:X54)</f>
        <v>36</v>
      </c>
      <c r="E54" s="65"/>
      <c r="F54" s="66"/>
      <c r="G54" s="67">
        <v>2</v>
      </c>
      <c r="H54" s="67">
        <v>2</v>
      </c>
      <c r="I54" s="67">
        <v>2</v>
      </c>
      <c r="J54" s="67">
        <v>2</v>
      </c>
      <c r="K54" s="67">
        <v>2</v>
      </c>
      <c r="L54" s="67">
        <v>2</v>
      </c>
      <c r="M54" s="67">
        <v>2</v>
      </c>
      <c r="N54" s="67">
        <v>2</v>
      </c>
      <c r="O54" s="67">
        <v>2</v>
      </c>
      <c r="P54" s="67">
        <v>2</v>
      </c>
      <c r="Q54" s="67">
        <v>2</v>
      </c>
      <c r="R54" s="67">
        <v>2</v>
      </c>
      <c r="S54" s="67">
        <v>2</v>
      </c>
      <c r="T54" s="67">
        <v>2</v>
      </c>
      <c r="U54" s="67">
        <v>2</v>
      </c>
      <c r="V54" s="67">
        <v>2</v>
      </c>
      <c r="W54" s="67">
        <v>2</v>
      </c>
      <c r="X54" s="66">
        <v>2</v>
      </c>
      <c r="Y54" s="64"/>
      <c r="Z54" s="65"/>
      <c r="AA54" s="65"/>
      <c r="AB54" s="65"/>
      <c r="AC54" s="65"/>
      <c r="AD54" s="65"/>
      <c r="AE54" s="66" t="s">
        <v>21</v>
      </c>
      <c r="AM54" s="11"/>
      <c r="AN54" s="11"/>
      <c r="AO54" s="11"/>
      <c r="AP54" s="11"/>
      <c r="AQ54" s="11"/>
      <c r="AR54" s="11"/>
    </row>
    <row r="55" spans="1:44" s="4" customFormat="1" x14ac:dyDescent="0.3">
      <c r="A55" s="84"/>
      <c r="B55" s="85"/>
      <c r="C55" s="71"/>
      <c r="D55" s="72"/>
      <c r="E55" s="72">
        <f>SUM(G55:X55)</f>
        <v>36</v>
      </c>
      <c r="F55" s="73"/>
      <c r="G55" s="71">
        <v>2</v>
      </c>
      <c r="H55" s="71">
        <v>2</v>
      </c>
      <c r="I55" s="71">
        <v>2</v>
      </c>
      <c r="J55" s="71">
        <v>2</v>
      </c>
      <c r="K55" s="71">
        <v>2</v>
      </c>
      <c r="L55" s="71">
        <v>2</v>
      </c>
      <c r="M55" s="71">
        <v>2</v>
      </c>
      <c r="N55" s="71">
        <v>2</v>
      </c>
      <c r="O55" s="71">
        <v>2</v>
      </c>
      <c r="P55" s="71">
        <v>2</v>
      </c>
      <c r="Q55" s="71">
        <v>2</v>
      </c>
      <c r="R55" s="71">
        <v>2</v>
      </c>
      <c r="S55" s="71">
        <v>2</v>
      </c>
      <c r="T55" s="71">
        <v>2</v>
      </c>
      <c r="U55" s="71">
        <v>2</v>
      </c>
      <c r="V55" s="71">
        <v>2</v>
      </c>
      <c r="W55" s="71">
        <v>2</v>
      </c>
      <c r="X55" s="90">
        <v>2</v>
      </c>
      <c r="Y55" s="91"/>
      <c r="Z55" s="72"/>
      <c r="AA55" s="72"/>
      <c r="AB55" s="72"/>
      <c r="AC55" s="72"/>
      <c r="AD55" s="72"/>
      <c r="AE55" s="76"/>
      <c r="AM55" s="12"/>
      <c r="AN55" s="96"/>
      <c r="AO55" s="105"/>
      <c r="AP55" s="105"/>
      <c r="AQ55" s="11"/>
      <c r="AR55" s="11"/>
    </row>
    <row r="56" spans="1:44" s="4" customFormat="1" ht="19.5" thickBot="1" x14ac:dyDescent="0.35">
      <c r="A56" s="88"/>
      <c r="B56" s="89"/>
      <c r="C56" s="79"/>
      <c r="D56" s="80"/>
      <c r="E56" s="80"/>
      <c r="F56" s="81">
        <f>SUM(G56:X56)</f>
        <v>0</v>
      </c>
      <c r="G56" s="86"/>
      <c r="H56" s="87"/>
      <c r="I56" s="86"/>
      <c r="J56" s="79"/>
      <c r="K56" s="86"/>
      <c r="L56" s="72"/>
      <c r="M56" s="72"/>
      <c r="N56" s="72"/>
      <c r="O56" s="72"/>
      <c r="P56" s="72"/>
      <c r="Q56" s="71"/>
      <c r="R56" s="71"/>
      <c r="S56" s="72"/>
      <c r="T56" s="72"/>
      <c r="U56" s="72"/>
      <c r="V56" s="72"/>
      <c r="W56" s="72"/>
      <c r="X56" s="73"/>
      <c r="Y56" s="86"/>
      <c r="Z56" s="87"/>
      <c r="AA56" s="87"/>
      <c r="AB56" s="87"/>
      <c r="AC56" s="87"/>
      <c r="AD56" s="87"/>
      <c r="AE56" s="81">
        <v>36</v>
      </c>
      <c r="AM56" s="12"/>
      <c r="AN56" s="96"/>
      <c r="AO56" s="105"/>
      <c r="AP56" s="105"/>
      <c r="AQ56" s="11"/>
      <c r="AR56" s="11"/>
    </row>
    <row r="57" spans="1:44" s="4" customFormat="1" ht="56.25" x14ac:dyDescent="0.3">
      <c r="A57" s="82">
        <v>30</v>
      </c>
      <c r="B57" s="83" t="s">
        <v>45</v>
      </c>
      <c r="C57" s="64">
        <f>SUM(D57:F59)</f>
        <v>54</v>
      </c>
      <c r="D57" s="65">
        <f>SUM(G57:X57)</f>
        <v>18</v>
      </c>
      <c r="E57" s="65"/>
      <c r="F57" s="66"/>
      <c r="G57" s="67">
        <v>2</v>
      </c>
      <c r="H57" s="68"/>
      <c r="I57" s="68">
        <v>2</v>
      </c>
      <c r="J57" s="67"/>
      <c r="K57" s="64">
        <v>2</v>
      </c>
      <c r="L57" s="65"/>
      <c r="M57" s="65">
        <v>2</v>
      </c>
      <c r="N57" s="65"/>
      <c r="O57" s="65">
        <v>2</v>
      </c>
      <c r="P57" s="65"/>
      <c r="Q57" s="64">
        <v>2</v>
      </c>
      <c r="R57" s="64"/>
      <c r="S57" s="65">
        <v>2</v>
      </c>
      <c r="T57" s="65"/>
      <c r="U57" s="65">
        <v>2</v>
      </c>
      <c r="V57" s="65"/>
      <c r="W57" s="65">
        <v>2</v>
      </c>
      <c r="X57" s="66"/>
      <c r="Y57" s="64"/>
      <c r="Z57" s="65"/>
      <c r="AA57" s="65"/>
      <c r="AB57" s="65"/>
      <c r="AC57" s="65"/>
      <c r="AD57" s="65"/>
      <c r="AE57" s="66" t="s">
        <v>21</v>
      </c>
      <c r="AM57" s="11"/>
      <c r="AN57" s="11"/>
      <c r="AO57" s="11"/>
      <c r="AP57" s="11"/>
      <c r="AQ57" s="11"/>
      <c r="AR57" s="11"/>
    </row>
    <row r="58" spans="1:44" s="4" customFormat="1" x14ac:dyDescent="0.3">
      <c r="A58" s="84"/>
      <c r="B58" s="85"/>
      <c r="C58" s="71"/>
      <c r="D58" s="72"/>
      <c r="E58" s="72">
        <f>SUM(G58:X58)</f>
        <v>36</v>
      </c>
      <c r="F58" s="73"/>
      <c r="G58" s="71">
        <v>2</v>
      </c>
      <c r="H58" s="71">
        <v>2</v>
      </c>
      <c r="I58" s="71">
        <v>2</v>
      </c>
      <c r="J58" s="71">
        <v>2</v>
      </c>
      <c r="K58" s="71">
        <v>2</v>
      </c>
      <c r="L58" s="71">
        <v>2</v>
      </c>
      <c r="M58" s="71">
        <v>2</v>
      </c>
      <c r="N58" s="71">
        <v>2</v>
      </c>
      <c r="O58" s="71">
        <v>2</v>
      </c>
      <c r="P58" s="71">
        <v>2</v>
      </c>
      <c r="Q58" s="71">
        <v>2</v>
      </c>
      <c r="R58" s="71">
        <v>2</v>
      </c>
      <c r="S58" s="71">
        <v>2</v>
      </c>
      <c r="T58" s="71">
        <v>2</v>
      </c>
      <c r="U58" s="71">
        <v>2</v>
      </c>
      <c r="V58" s="71">
        <v>2</v>
      </c>
      <c r="W58" s="71">
        <v>2</v>
      </c>
      <c r="X58" s="90">
        <v>2</v>
      </c>
      <c r="Y58" s="91"/>
      <c r="Z58" s="72"/>
      <c r="AA58" s="72"/>
      <c r="AB58" s="72"/>
      <c r="AC58" s="72"/>
      <c r="AD58" s="72"/>
      <c r="AE58" s="76"/>
      <c r="AM58" s="12"/>
      <c r="AN58" s="96"/>
      <c r="AO58" s="105"/>
      <c r="AP58" s="105"/>
      <c r="AQ58" s="11"/>
      <c r="AR58" s="11"/>
    </row>
    <row r="59" spans="1:44" s="4" customFormat="1" ht="19.5" thickBot="1" x14ac:dyDescent="0.35">
      <c r="A59" s="88"/>
      <c r="B59" s="89"/>
      <c r="C59" s="79"/>
      <c r="D59" s="80"/>
      <c r="E59" s="80"/>
      <c r="F59" s="81">
        <f>SUM(G59:X59)</f>
        <v>0</v>
      </c>
      <c r="G59" s="79"/>
      <c r="H59" s="80"/>
      <c r="I59" s="80"/>
      <c r="J59" s="79"/>
      <c r="K59" s="79"/>
      <c r="L59" s="80"/>
      <c r="M59" s="80"/>
      <c r="N59" s="80"/>
      <c r="O59" s="80"/>
      <c r="P59" s="80"/>
      <c r="Q59" s="79"/>
      <c r="R59" s="79"/>
      <c r="S59" s="80"/>
      <c r="T59" s="80"/>
      <c r="U59" s="80"/>
      <c r="V59" s="80"/>
      <c r="W59" s="80"/>
      <c r="X59" s="92"/>
      <c r="Y59" s="86"/>
      <c r="Z59" s="87"/>
      <c r="AA59" s="87"/>
      <c r="AB59" s="87"/>
      <c r="AC59" s="87"/>
      <c r="AD59" s="87"/>
      <c r="AE59" s="81">
        <v>36</v>
      </c>
      <c r="AM59" s="12"/>
      <c r="AN59" s="96"/>
      <c r="AO59" s="105"/>
      <c r="AP59" s="105"/>
      <c r="AQ59" s="11"/>
      <c r="AR59" s="11"/>
    </row>
    <row r="60" spans="1:44" s="4" customFormat="1" ht="75" x14ac:dyDescent="0.3">
      <c r="A60" s="82">
        <v>30</v>
      </c>
      <c r="B60" s="83" t="s">
        <v>46</v>
      </c>
      <c r="C60" s="64">
        <f>SUM(D60:F62)</f>
        <v>54</v>
      </c>
      <c r="D60" s="65">
        <f>SUM(G60:X60)</f>
        <v>18</v>
      </c>
      <c r="E60" s="65"/>
      <c r="F60" s="66"/>
      <c r="G60" s="67">
        <v>2</v>
      </c>
      <c r="H60" s="68"/>
      <c r="I60" s="68">
        <v>2</v>
      </c>
      <c r="J60" s="67"/>
      <c r="K60" s="64">
        <v>2</v>
      </c>
      <c r="L60" s="65"/>
      <c r="M60" s="65">
        <v>2</v>
      </c>
      <c r="N60" s="65"/>
      <c r="O60" s="65">
        <v>2</v>
      </c>
      <c r="P60" s="65"/>
      <c r="Q60" s="64">
        <v>2</v>
      </c>
      <c r="R60" s="64"/>
      <c r="S60" s="65">
        <v>2</v>
      </c>
      <c r="T60" s="65"/>
      <c r="U60" s="65">
        <v>2</v>
      </c>
      <c r="V60" s="65"/>
      <c r="W60" s="65">
        <v>2</v>
      </c>
      <c r="X60" s="66"/>
      <c r="Y60" s="64"/>
      <c r="Z60" s="65"/>
      <c r="AA60" s="65"/>
      <c r="AB60" s="65"/>
      <c r="AC60" s="65"/>
      <c r="AD60" s="65"/>
      <c r="AE60" s="66" t="s">
        <v>18</v>
      </c>
      <c r="AM60" s="11"/>
      <c r="AN60" s="11"/>
      <c r="AO60" s="11"/>
      <c r="AP60" s="11"/>
      <c r="AQ60" s="11"/>
      <c r="AR60" s="11"/>
    </row>
    <row r="61" spans="1:44" s="4" customFormat="1" x14ac:dyDescent="0.3">
      <c r="A61" s="84"/>
      <c r="B61" s="85"/>
      <c r="C61" s="71"/>
      <c r="D61" s="72"/>
      <c r="E61" s="72">
        <f>SUM(G61:X61)</f>
        <v>36</v>
      </c>
      <c r="F61" s="73"/>
      <c r="G61" s="71">
        <v>2</v>
      </c>
      <c r="H61" s="71">
        <v>2</v>
      </c>
      <c r="I61" s="71">
        <v>2</v>
      </c>
      <c r="J61" s="71">
        <v>2</v>
      </c>
      <c r="K61" s="71">
        <v>2</v>
      </c>
      <c r="L61" s="71">
        <v>2</v>
      </c>
      <c r="M61" s="71">
        <v>2</v>
      </c>
      <c r="N61" s="71">
        <v>2</v>
      </c>
      <c r="O61" s="71">
        <v>2</v>
      </c>
      <c r="P61" s="71">
        <v>2</v>
      </c>
      <c r="Q61" s="71">
        <v>2</v>
      </c>
      <c r="R61" s="71">
        <v>2</v>
      </c>
      <c r="S61" s="71">
        <v>2</v>
      </c>
      <c r="T61" s="71">
        <v>2</v>
      </c>
      <c r="U61" s="71">
        <v>2</v>
      </c>
      <c r="V61" s="71">
        <v>2</v>
      </c>
      <c r="W61" s="71">
        <v>2</v>
      </c>
      <c r="X61" s="90">
        <v>2</v>
      </c>
      <c r="Y61" s="91"/>
      <c r="Z61" s="72"/>
      <c r="AA61" s="72"/>
      <c r="AB61" s="72"/>
      <c r="AC61" s="72"/>
      <c r="AD61" s="72"/>
      <c r="AE61" s="76"/>
      <c r="AM61" s="12"/>
      <c r="AN61" s="96"/>
      <c r="AO61" s="105"/>
      <c r="AP61" s="105"/>
      <c r="AQ61" s="11"/>
      <c r="AR61" s="11"/>
    </row>
    <row r="62" spans="1:44" s="4" customFormat="1" ht="19.5" thickBot="1" x14ac:dyDescent="0.35">
      <c r="A62" s="88"/>
      <c r="B62" s="89"/>
      <c r="C62" s="79"/>
      <c r="D62" s="80"/>
      <c r="E62" s="80"/>
      <c r="F62" s="81">
        <f>SUM(G62:X62)</f>
        <v>0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/>
      <c r="W62" s="80"/>
      <c r="X62" s="92"/>
      <c r="Y62" s="86"/>
      <c r="Z62" s="87"/>
      <c r="AA62" s="87"/>
      <c r="AB62" s="87"/>
      <c r="AC62" s="87"/>
      <c r="AD62" s="87"/>
      <c r="AE62" s="81">
        <v>18</v>
      </c>
      <c r="AM62" s="12"/>
      <c r="AN62" s="96"/>
      <c r="AO62" s="105"/>
      <c r="AP62" s="105"/>
      <c r="AQ62" s="11"/>
      <c r="AR62" s="11"/>
    </row>
    <row r="63" spans="1:44" s="4" customFormat="1" ht="19.5" x14ac:dyDescent="0.3">
      <c r="A63" s="82">
        <v>30</v>
      </c>
      <c r="B63" s="83" t="s">
        <v>47</v>
      </c>
      <c r="C63" s="64">
        <f t="shared" ref="C63" si="36">SUM(D63:F65)</f>
        <v>72</v>
      </c>
      <c r="D63" s="65">
        <f t="shared" ref="D63" si="37">SUM(G63:X63)</f>
        <v>36</v>
      </c>
      <c r="E63" s="65"/>
      <c r="F63" s="66"/>
      <c r="G63" s="67">
        <v>2</v>
      </c>
      <c r="H63" s="67">
        <v>2</v>
      </c>
      <c r="I63" s="67">
        <v>2</v>
      </c>
      <c r="J63" s="67">
        <v>2</v>
      </c>
      <c r="K63" s="67">
        <v>2</v>
      </c>
      <c r="L63" s="67">
        <v>2</v>
      </c>
      <c r="M63" s="67">
        <v>2</v>
      </c>
      <c r="N63" s="67">
        <v>2</v>
      </c>
      <c r="O63" s="67">
        <v>2</v>
      </c>
      <c r="P63" s="67">
        <v>2</v>
      </c>
      <c r="Q63" s="67">
        <v>2</v>
      </c>
      <c r="R63" s="67">
        <v>2</v>
      </c>
      <c r="S63" s="67">
        <v>2</v>
      </c>
      <c r="T63" s="67">
        <v>2</v>
      </c>
      <c r="U63" s="67">
        <v>2</v>
      </c>
      <c r="V63" s="67">
        <v>2</v>
      </c>
      <c r="W63" s="67">
        <v>2</v>
      </c>
      <c r="X63" s="66">
        <v>2</v>
      </c>
      <c r="Y63" s="64"/>
      <c r="Z63" s="65"/>
      <c r="AA63" s="65"/>
      <c r="AB63" s="65"/>
      <c r="AC63" s="65"/>
      <c r="AD63" s="65"/>
      <c r="AE63" s="66" t="s">
        <v>18</v>
      </c>
      <c r="AM63" s="11"/>
      <c r="AN63" s="11"/>
      <c r="AO63" s="11"/>
      <c r="AP63" s="11"/>
      <c r="AQ63" s="11"/>
      <c r="AR63" s="11"/>
    </row>
    <row r="64" spans="1:44" s="4" customFormat="1" x14ac:dyDescent="0.3">
      <c r="A64" s="84"/>
      <c r="B64" s="85"/>
      <c r="C64" s="71"/>
      <c r="D64" s="72"/>
      <c r="E64" s="72">
        <f t="shared" ref="E64" si="38">SUM(G64:X64)</f>
        <v>36</v>
      </c>
      <c r="F64" s="73"/>
      <c r="G64" s="71">
        <v>2</v>
      </c>
      <c r="H64" s="71">
        <v>2</v>
      </c>
      <c r="I64" s="71">
        <v>2</v>
      </c>
      <c r="J64" s="71">
        <v>2</v>
      </c>
      <c r="K64" s="71">
        <v>2</v>
      </c>
      <c r="L64" s="71">
        <v>2</v>
      </c>
      <c r="M64" s="71">
        <v>2</v>
      </c>
      <c r="N64" s="71">
        <v>2</v>
      </c>
      <c r="O64" s="71">
        <v>2</v>
      </c>
      <c r="P64" s="71">
        <v>2</v>
      </c>
      <c r="Q64" s="71">
        <v>2</v>
      </c>
      <c r="R64" s="71">
        <v>2</v>
      </c>
      <c r="S64" s="71">
        <v>2</v>
      </c>
      <c r="T64" s="71">
        <v>2</v>
      </c>
      <c r="U64" s="71">
        <v>2</v>
      </c>
      <c r="V64" s="71">
        <v>2</v>
      </c>
      <c r="W64" s="71">
        <v>2</v>
      </c>
      <c r="X64" s="90">
        <v>2</v>
      </c>
      <c r="Y64" s="91"/>
      <c r="Z64" s="72"/>
      <c r="AA64" s="72"/>
      <c r="AB64" s="72"/>
      <c r="AC64" s="72"/>
      <c r="AD64" s="72"/>
      <c r="AE64" s="76"/>
      <c r="AM64" s="12"/>
      <c r="AN64" s="96"/>
      <c r="AO64" s="105"/>
      <c r="AP64" s="105"/>
      <c r="AQ64" s="11"/>
      <c r="AR64" s="11"/>
    </row>
    <row r="65" spans="1:44" s="4" customFormat="1" ht="19.5" thickBot="1" x14ac:dyDescent="0.35">
      <c r="A65" s="88"/>
      <c r="B65" s="89"/>
      <c r="C65" s="79"/>
      <c r="D65" s="80"/>
      <c r="E65" s="80"/>
      <c r="F65" s="81">
        <f t="shared" ref="F65" si="39">SUM(G65:X65)</f>
        <v>0</v>
      </c>
      <c r="G65" s="86"/>
      <c r="H65" s="87"/>
      <c r="I65" s="86"/>
      <c r="J65" s="79"/>
      <c r="K65" s="86"/>
      <c r="L65" s="72"/>
      <c r="M65" s="72"/>
      <c r="N65" s="72"/>
      <c r="O65" s="72"/>
      <c r="P65" s="72"/>
      <c r="Q65" s="71"/>
      <c r="R65" s="71"/>
      <c r="S65" s="72"/>
      <c r="T65" s="72"/>
      <c r="U65" s="72"/>
      <c r="V65" s="72"/>
      <c r="W65" s="72"/>
      <c r="X65" s="73"/>
      <c r="Y65" s="86"/>
      <c r="Z65" s="87"/>
      <c r="AA65" s="87"/>
      <c r="AB65" s="87"/>
      <c r="AC65" s="87"/>
      <c r="AD65" s="87"/>
      <c r="AE65" s="81">
        <v>18</v>
      </c>
      <c r="AM65" s="12"/>
      <c r="AN65" s="96"/>
      <c r="AO65" s="105"/>
      <c r="AP65" s="105"/>
      <c r="AQ65" s="11"/>
      <c r="AR65" s="11"/>
    </row>
    <row r="66" spans="1:44" s="4" customFormat="1" ht="19.5" x14ac:dyDescent="0.3">
      <c r="A66" s="82">
        <v>30</v>
      </c>
      <c r="B66" s="83" t="s">
        <v>48</v>
      </c>
      <c r="C66" s="64">
        <f t="shared" ref="C66" si="40">SUM(D66:F68)</f>
        <v>54</v>
      </c>
      <c r="D66" s="65">
        <f t="shared" ref="D66" si="41">SUM(G66:X66)</f>
        <v>18</v>
      </c>
      <c r="E66" s="65"/>
      <c r="F66" s="66"/>
      <c r="G66" s="64">
        <v>2</v>
      </c>
      <c r="H66" s="65"/>
      <c r="I66" s="65">
        <v>2</v>
      </c>
      <c r="J66" s="65"/>
      <c r="K66" s="64">
        <v>2</v>
      </c>
      <c r="L66" s="65"/>
      <c r="M66" s="65">
        <v>2</v>
      </c>
      <c r="N66" s="65"/>
      <c r="O66" s="65">
        <v>2</v>
      </c>
      <c r="P66" s="65"/>
      <c r="Q66" s="64">
        <v>2</v>
      </c>
      <c r="R66" s="64"/>
      <c r="S66" s="65">
        <v>2</v>
      </c>
      <c r="T66" s="65"/>
      <c r="U66" s="65">
        <v>2</v>
      </c>
      <c r="V66" s="65"/>
      <c r="W66" s="65">
        <v>2</v>
      </c>
      <c r="X66" s="66"/>
      <c r="Y66" s="64"/>
      <c r="Z66" s="65"/>
      <c r="AA66" s="65"/>
      <c r="AB66" s="65"/>
      <c r="AC66" s="65"/>
      <c r="AD66" s="65"/>
      <c r="AE66" s="66" t="s">
        <v>18</v>
      </c>
      <c r="AM66" s="11"/>
      <c r="AN66" s="11"/>
      <c r="AO66" s="11"/>
      <c r="AP66" s="11"/>
      <c r="AQ66" s="11"/>
      <c r="AR66" s="11"/>
    </row>
    <row r="67" spans="1:44" s="4" customFormat="1" x14ac:dyDescent="0.3">
      <c r="A67" s="84"/>
      <c r="B67" s="85"/>
      <c r="C67" s="71"/>
      <c r="D67" s="72"/>
      <c r="E67" s="72">
        <f t="shared" ref="E67" si="42">SUM(G67:X67)</f>
        <v>36</v>
      </c>
      <c r="F67" s="73"/>
      <c r="G67" s="71"/>
      <c r="H67" s="71">
        <v>4</v>
      </c>
      <c r="I67" s="71"/>
      <c r="J67" s="71">
        <v>4</v>
      </c>
      <c r="K67" s="71"/>
      <c r="L67" s="71">
        <v>4</v>
      </c>
      <c r="M67" s="71"/>
      <c r="N67" s="71">
        <v>4</v>
      </c>
      <c r="O67" s="71"/>
      <c r="P67" s="71">
        <v>4</v>
      </c>
      <c r="Q67" s="71"/>
      <c r="R67" s="71">
        <v>4</v>
      </c>
      <c r="S67" s="71"/>
      <c r="T67" s="71">
        <v>4</v>
      </c>
      <c r="U67" s="71"/>
      <c r="V67" s="71">
        <v>4</v>
      </c>
      <c r="W67" s="71"/>
      <c r="X67" s="73">
        <v>4</v>
      </c>
      <c r="Y67" s="71"/>
      <c r="Z67" s="72"/>
      <c r="AA67" s="72"/>
      <c r="AB67" s="72"/>
      <c r="AC67" s="72"/>
      <c r="AD67" s="72"/>
      <c r="AE67" s="76"/>
      <c r="AM67" s="12"/>
      <c r="AN67" s="96"/>
      <c r="AO67" s="105"/>
      <c r="AP67" s="105"/>
      <c r="AQ67" s="11"/>
      <c r="AR67" s="11"/>
    </row>
    <row r="68" spans="1:44" s="4" customFormat="1" ht="19.5" thickBot="1" x14ac:dyDescent="0.35">
      <c r="A68" s="88"/>
      <c r="B68" s="89"/>
      <c r="C68" s="79"/>
      <c r="D68" s="80"/>
      <c r="E68" s="80"/>
      <c r="F68" s="81">
        <f t="shared" ref="F68" si="43">SUM(G68:X68)</f>
        <v>0</v>
      </c>
      <c r="G68" s="79"/>
      <c r="H68" s="80"/>
      <c r="I68" s="80"/>
      <c r="J68" s="80"/>
      <c r="K68" s="79"/>
      <c r="L68" s="80"/>
      <c r="M68" s="80"/>
      <c r="N68" s="80"/>
      <c r="O68" s="80"/>
      <c r="P68" s="80"/>
      <c r="Q68" s="79"/>
      <c r="R68" s="79"/>
      <c r="S68" s="80"/>
      <c r="T68" s="80"/>
      <c r="U68" s="80"/>
      <c r="V68" s="80"/>
      <c r="W68" s="80"/>
      <c r="X68" s="81"/>
      <c r="Y68" s="86"/>
      <c r="Z68" s="87"/>
      <c r="AA68" s="87"/>
      <c r="AB68" s="87"/>
      <c r="AC68" s="87"/>
      <c r="AD68" s="87"/>
      <c r="AE68" s="81">
        <v>18</v>
      </c>
      <c r="AM68" s="12"/>
      <c r="AN68" s="96"/>
      <c r="AO68" s="105"/>
      <c r="AP68" s="105"/>
      <c r="AQ68" s="11"/>
      <c r="AR68" s="11"/>
    </row>
    <row r="69" spans="1:44" s="4" customFormat="1" ht="56.25" x14ac:dyDescent="0.3">
      <c r="A69" s="82">
        <v>30</v>
      </c>
      <c r="B69" s="83" t="s">
        <v>39</v>
      </c>
      <c r="C69" s="64">
        <f t="shared" ref="C69" si="44">SUM(D69:F71)</f>
        <v>18</v>
      </c>
      <c r="D69" s="65">
        <f t="shared" ref="D69" si="45">SUM(G69:X69)</f>
        <v>0</v>
      </c>
      <c r="E69" s="65"/>
      <c r="F69" s="66"/>
      <c r="G69" s="67"/>
      <c r="H69" s="68"/>
      <c r="I69" s="68"/>
      <c r="J69" s="67"/>
      <c r="K69" s="64"/>
      <c r="L69" s="65"/>
      <c r="M69" s="65"/>
      <c r="N69" s="65"/>
      <c r="O69" s="65"/>
      <c r="P69" s="65"/>
      <c r="Q69" s="64"/>
      <c r="R69" s="64"/>
      <c r="S69" s="65"/>
      <c r="T69" s="65"/>
      <c r="U69" s="65"/>
      <c r="V69" s="65"/>
      <c r="W69" s="65"/>
      <c r="X69" s="66"/>
      <c r="Y69" s="64"/>
      <c r="Z69" s="65"/>
      <c r="AA69" s="65"/>
      <c r="AB69" s="65"/>
      <c r="AC69" s="65"/>
      <c r="AD69" s="65"/>
      <c r="AE69" s="66" t="s">
        <v>18</v>
      </c>
      <c r="AM69" s="11"/>
      <c r="AN69" s="11"/>
      <c r="AO69" s="11"/>
      <c r="AP69" s="11"/>
      <c r="AQ69" s="11"/>
      <c r="AR69" s="11"/>
    </row>
    <row r="70" spans="1:44" s="4" customFormat="1" ht="19.5" x14ac:dyDescent="0.35">
      <c r="A70" s="84"/>
      <c r="B70" s="99" t="s">
        <v>22</v>
      </c>
      <c r="C70" s="71"/>
      <c r="D70" s="72"/>
      <c r="E70" s="72">
        <f t="shared" ref="E70" si="46">SUM(G70:X70)</f>
        <v>18</v>
      </c>
      <c r="F70" s="73"/>
      <c r="G70" s="71">
        <v>2</v>
      </c>
      <c r="H70" s="72"/>
      <c r="I70" s="72">
        <v>2</v>
      </c>
      <c r="J70" s="71"/>
      <c r="K70" s="74">
        <v>2</v>
      </c>
      <c r="L70" s="75"/>
      <c r="M70" s="75">
        <v>2</v>
      </c>
      <c r="N70" s="75"/>
      <c r="O70" s="75">
        <v>2</v>
      </c>
      <c r="P70" s="75"/>
      <c r="Q70" s="71">
        <v>2</v>
      </c>
      <c r="R70" s="71"/>
      <c r="S70" s="72">
        <v>2</v>
      </c>
      <c r="T70" s="72"/>
      <c r="U70" s="72">
        <v>2</v>
      </c>
      <c r="V70" s="72"/>
      <c r="W70" s="72">
        <v>2</v>
      </c>
      <c r="X70" s="73"/>
      <c r="Y70" s="71"/>
      <c r="Z70" s="72"/>
      <c r="AA70" s="72"/>
      <c r="AB70" s="72"/>
      <c r="AC70" s="72"/>
      <c r="AD70" s="72"/>
      <c r="AE70" s="76"/>
      <c r="AM70" s="12"/>
      <c r="AN70" s="96"/>
      <c r="AO70" s="105"/>
      <c r="AP70" s="105"/>
      <c r="AQ70" s="11"/>
      <c r="AR70" s="11"/>
    </row>
    <row r="71" spans="1:44" s="4" customFormat="1" ht="19.5" thickBot="1" x14ac:dyDescent="0.35">
      <c r="A71" s="88"/>
      <c r="B71" s="89"/>
      <c r="C71" s="79"/>
      <c r="D71" s="80"/>
      <c r="E71" s="80"/>
      <c r="F71" s="81">
        <f t="shared" ref="F71" si="47">SUM(G71:X71)</f>
        <v>0</v>
      </c>
      <c r="G71" s="79"/>
      <c r="H71" s="80"/>
      <c r="I71" s="80"/>
      <c r="J71" s="79"/>
      <c r="K71" s="79"/>
      <c r="L71" s="80"/>
      <c r="M71" s="80"/>
      <c r="N71" s="80"/>
      <c r="O71" s="80"/>
      <c r="P71" s="80"/>
      <c r="Q71" s="86"/>
      <c r="R71" s="86"/>
      <c r="S71" s="87"/>
      <c r="T71" s="87"/>
      <c r="U71" s="87"/>
      <c r="V71" s="87"/>
      <c r="W71" s="87"/>
      <c r="X71" s="92"/>
      <c r="Y71" s="86"/>
      <c r="Z71" s="87"/>
      <c r="AA71" s="87"/>
      <c r="AB71" s="87"/>
      <c r="AC71" s="87"/>
      <c r="AD71" s="87"/>
      <c r="AE71" s="81">
        <v>9</v>
      </c>
      <c r="AM71" s="12"/>
      <c r="AN71" s="96"/>
      <c r="AO71" s="105"/>
      <c r="AP71" s="105"/>
      <c r="AQ71" s="11"/>
      <c r="AR71" s="11"/>
    </row>
    <row r="72" spans="1:44" s="4" customFormat="1" ht="56.25" x14ac:dyDescent="0.3">
      <c r="A72" s="82">
        <v>30</v>
      </c>
      <c r="B72" s="83" t="s">
        <v>49</v>
      </c>
      <c r="C72" s="64">
        <f t="shared" ref="C72" si="48">SUM(D72:F74)</f>
        <v>18</v>
      </c>
      <c r="D72" s="65">
        <f t="shared" ref="D72" si="49">SUM(G72:X72)</f>
        <v>0</v>
      </c>
      <c r="E72" s="65"/>
      <c r="F72" s="66"/>
      <c r="G72" s="67"/>
      <c r="H72" s="68"/>
      <c r="I72" s="68"/>
      <c r="J72" s="67"/>
      <c r="K72" s="64"/>
      <c r="L72" s="65"/>
      <c r="M72" s="65"/>
      <c r="N72" s="65"/>
      <c r="O72" s="65"/>
      <c r="P72" s="65"/>
      <c r="Q72" s="64"/>
      <c r="R72" s="64"/>
      <c r="S72" s="65"/>
      <c r="T72" s="65"/>
      <c r="U72" s="65"/>
      <c r="V72" s="65"/>
      <c r="W72" s="65"/>
      <c r="X72" s="66"/>
      <c r="Y72" s="64"/>
      <c r="Z72" s="65"/>
      <c r="AA72" s="65"/>
      <c r="AB72" s="65"/>
      <c r="AC72" s="65"/>
      <c r="AD72" s="65"/>
      <c r="AE72" s="66" t="s">
        <v>18</v>
      </c>
      <c r="AM72" s="11"/>
      <c r="AN72" s="11"/>
      <c r="AO72" s="11"/>
      <c r="AP72" s="11"/>
      <c r="AQ72" s="11"/>
      <c r="AR72" s="11"/>
    </row>
    <row r="73" spans="1:44" s="4" customFormat="1" ht="19.5" x14ac:dyDescent="0.35">
      <c r="A73" s="84"/>
      <c r="B73" s="99" t="s">
        <v>22</v>
      </c>
      <c r="C73" s="71"/>
      <c r="D73" s="72"/>
      <c r="E73" s="72">
        <f t="shared" ref="E73" si="50">SUM(G73:X73)</f>
        <v>18</v>
      </c>
      <c r="F73" s="73"/>
      <c r="G73" s="71"/>
      <c r="H73" s="72">
        <v>2</v>
      </c>
      <c r="I73" s="72"/>
      <c r="J73" s="71">
        <v>2</v>
      </c>
      <c r="K73" s="74"/>
      <c r="L73" s="75">
        <v>2</v>
      </c>
      <c r="M73" s="75"/>
      <c r="N73" s="75">
        <v>2</v>
      </c>
      <c r="O73" s="75"/>
      <c r="P73" s="75">
        <v>2</v>
      </c>
      <c r="Q73" s="71"/>
      <c r="R73" s="71">
        <v>2</v>
      </c>
      <c r="S73" s="72"/>
      <c r="T73" s="72">
        <v>2</v>
      </c>
      <c r="U73" s="72"/>
      <c r="V73" s="72">
        <v>2</v>
      </c>
      <c r="W73" s="72"/>
      <c r="X73" s="73">
        <v>2</v>
      </c>
      <c r="Y73" s="71"/>
      <c r="Z73" s="72"/>
      <c r="AA73" s="72"/>
      <c r="AB73" s="72"/>
      <c r="AC73" s="72"/>
      <c r="AD73" s="72"/>
      <c r="AE73" s="76"/>
      <c r="AM73" s="12"/>
      <c r="AN73" s="96"/>
      <c r="AO73" s="105"/>
      <c r="AP73" s="105"/>
      <c r="AQ73" s="11"/>
      <c r="AR73" s="11"/>
    </row>
    <row r="74" spans="1:44" s="4" customFormat="1" ht="19.5" thickBot="1" x14ac:dyDescent="0.35">
      <c r="A74" s="98"/>
      <c r="B74" s="89"/>
      <c r="C74" s="79"/>
      <c r="D74" s="80"/>
      <c r="E74" s="80"/>
      <c r="F74" s="81">
        <f t="shared" ref="F74" si="51">SUM(G74:X74)</f>
        <v>0</v>
      </c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86"/>
      <c r="R74" s="86"/>
      <c r="S74" s="87"/>
      <c r="T74" s="87"/>
      <c r="U74" s="87"/>
      <c r="V74" s="87"/>
      <c r="W74" s="87"/>
      <c r="X74" s="92"/>
      <c r="Y74" s="86"/>
      <c r="Z74" s="87"/>
      <c r="AA74" s="87"/>
      <c r="AB74" s="87"/>
      <c r="AC74" s="87"/>
      <c r="AD74" s="87"/>
      <c r="AE74" s="81">
        <v>9</v>
      </c>
      <c r="AM74" s="12"/>
      <c r="AN74" s="96"/>
      <c r="AO74" s="105"/>
      <c r="AP74" s="105"/>
      <c r="AQ74" s="11"/>
      <c r="AR74" s="11"/>
    </row>
    <row r="75" spans="1:44" s="4" customFormat="1" ht="19.5" thickBot="1" x14ac:dyDescent="0.35">
      <c r="A75" s="104" t="s">
        <v>26</v>
      </c>
      <c r="B75" s="104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M75" s="12"/>
      <c r="AN75" s="96"/>
      <c r="AO75" s="105"/>
      <c r="AP75" s="105"/>
      <c r="AQ75" s="11"/>
      <c r="AR75" s="11"/>
    </row>
    <row r="76" spans="1:44" s="4" customFormat="1" ht="19.5" thickBot="1" x14ac:dyDescent="0.35">
      <c r="A76" s="101" t="s">
        <v>28</v>
      </c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3"/>
      <c r="AM76" s="11"/>
      <c r="AN76" s="11"/>
      <c r="AO76" s="11"/>
      <c r="AP76" s="11"/>
      <c r="AQ76" s="11"/>
      <c r="AR76" s="11"/>
    </row>
    <row r="77" spans="1:44" s="4" customFormat="1" ht="75" x14ac:dyDescent="0.3">
      <c r="A77" s="82">
        <v>30</v>
      </c>
      <c r="B77" s="83" t="s">
        <v>50</v>
      </c>
      <c r="C77" s="64">
        <f t="shared" ref="C77" si="52">SUM(D77:F79)</f>
        <v>24</v>
      </c>
      <c r="D77" s="65">
        <f t="shared" ref="D77" si="53">SUM(G77:AD77)</f>
        <v>8</v>
      </c>
      <c r="E77" s="65"/>
      <c r="F77" s="66"/>
      <c r="G77" s="67">
        <v>2</v>
      </c>
      <c r="H77" s="68"/>
      <c r="I77" s="68">
        <v>2</v>
      </c>
      <c r="J77" s="67"/>
      <c r="K77" s="64">
        <v>2</v>
      </c>
      <c r="L77" s="65"/>
      <c r="M77" s="65">
        <v>2</v>
      </c>
      <c r="N77" s="66"/>
      <c r="O77" s="64"/>
      <c r="P77" s="65"/>
      <c r="Q77" s="64"/>
      <c r="R77" s="64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6" t="s">
        <v>23</v>
      </c>
      <c r="AM77" s="11"/>
      <c r="AN77" s="11"/>
      <c r="AO77" s="11"/>
      <c r="AP77" s="11"/>
      <c r="AQ77" s="11"/>
      <c r="AR77" s="11"/>
    </row>
    <row r="78" spans="1:44" s="4" customFormat="1" x14ac:dyDescent="0.3">
      <c r="A78" s="84"/>
      <c r="B78" s="85"/>
      <c r="C78" s="71"/>
      <c r="D78" s="72"/>
      <c r="E78" s="72">
        <f t="shared" ref="E78" si="54">SUM(G78:AD78)</f>
        <v>16</v>
      </c>
      <c r="F78" s="73"/>
      <c r="G78" s="71">
        <v>2</v>
      </c>
      <c r="H78" s="71">
        <v>2</v>
      </c>
      <c r="I78" s="71">
        <v>2</v>
      </c>
      <c r="J78" s="71">
        <v>2</v>
      </c>
      <c r="K78" s="71">
        <v>2</v>
      </c>
      <c r="L78" s="71">
        <v>2</v>
      </c>
      <c r="M78" s="71">
        <v>2</v>
      </c>
      <c r="N78" s="73">
        <v>2</v>
      </c>
      <c r="O78" s="74"/>
      <c r="P78" s="75"/>
      <c r="Q78" s="71"/>
      <c r="R78" s="71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6" t="s">
        <v>25</v>
      </c>
      <c r="AM78" s="12"/>
      <c r="AN78" s="96"/>
      <c r="AO78" s="105"/>
      <c r="AP78" s="105"/>
      <c r="AQ78" s="11"/>
      <c r="AR78" s="11"/>
    </row>
    <row r="79" spans="1:44" s="4" customFormat="1" ht="19.5" thickBot="1" x14ac:dyDescent="0.35">
      <c r="A79" s="88"/>
      <c r="B79" s="89"/>
      <c r="C79" s="79"/>
      <c r="D79" s="80"/>
      <c r="E79" s="80"/>
      <c r="F79" s="81">
        <f t="shared" ref="F79" si="55">SUM(G79:AD79)</f>
        <v>0</v>
      </c>
      <c r="G79" s="79"/>
      <c r="H79" s="80"/>
      <c r="I79" s="80"/>
      <c r="J79" s="79"/>
      <c r="K79" s="79"/>
      <c r="L79" s="80"/>
      <c r="M79" s="80"/>
      <c r="N79" s="81"/>
      <c r="O79" s="79"/>
      <c r="P79" s="80"/>
      <c r="Q79" s="86"/>
      <c r="R79" s="86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1">
        <v>9</v>
      </c>
      <c r="AM79" s="12"/>
      <c r="AN79" s="96"/>
      <c r="AO79" s="105"/>
      <c r="AP79" s="105"/>
      <c r="AQ79" s="11"/>
      <c r="AR79" s="11"/>
    </row>
    <row r="80" spans="1:44" s="4" customFormat="1" ht="19.5" customHeight="1" thickBot="1" x14ac:dyDescent="0.35">
      <c r="A80" s="101" t="s">
        <v>29</v>
      </c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3"/>
      <c r="AM80" s="12"/>
      <c r="AN80" s="96"/>
      <c r="AO80" s="105"/>
      <c r="AP80" s="105"/>
      <c r="AQ80" s="11"/>
      <c r="AR80" s="11"/>
    </row>
    <row r="81" spans="1:44" s="4" customFormat="1" ht="75" x14ac:dyDescent="0.3">
      <c r="A81" s="82">
        <v>30</v>
      </c>
      <c r="B81" s="83" t="s">
        <v>50</v>
      </c>
      <c r="C81" s="64">
        <f t="shared" ref="C81" si="56">SUM(D81:F83)</f>
        <v>40</v>
      </c>
      <c r="D81" s="65">
        <f t="shared" ref="D81" si="57">SUM(G81:AD81)</f>
        <v>16</v>
      </c>
      <c r="E81" s="65"/>
      <c r="F81" s="66"/>
      <c r="G81" s="67">
        <v>2</v>
      </c>
      <c r="H81" s="67">
        <v>2</v>
      </c>
      <c r="I81" s="67">
        <v>2</v>
      </c>
      <c r="J81" s="67">
        <v>2</v>
      </c>
      <c r="K81" s="67">
        <v>2</v>
      </c>
      <c r="L81" s="67">
        <v>2</v>
      </c>
      <c r="M81" s="67">
        <v>2</v>
      </c>
      <c r="N81" s="135">
        <v>2</v>
      </c>
      <c r="O81" s="64"/>
      <c r="P81" s="65"/>
      <c r="Q81" s="64"/>
      <c r="R81" s="64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6" t="s">
        <v>19</v>
      </c>
      <c r="AM81" s="11"/>
      <c r="AN81" s="11"/>
      <c r="AO81" s="11"/>
      <c r="AP81" s="11"/>
      <c r="AQ81" s="11"/>
      <c r="AR81" s="11"/>
    </row>
    <row r="82" spans="1:44" s="4" customFormat="1" x14ac:dyDescent="0.3">
      <c r="A82" s="84"/>
      <c r="B82" s="85"/>
      <c r="C82" s="71"/>
      <c r="D82" s="72"/>
      <c r="E82" s="72">
        <f t="shared" ref="E82" si="58">SUM(G82:AD82)</f>
        <v>24</v>
      </c>
      <c r="F82" s="73"/>
      <c r="G82" s="71">
        <v>2</v>
      </c>
      <c r="H82" s="71">
        <v>4</v>
      </c>
      <c r="I82" s="71">
        <v>2</v>
      </c>
      <c r="J82" s="71">
        <v>4</v>
      </c>
      <c r="K82" s="71">
        <v>2</v>
      </c>
      <c r="L82" s="71">
        <v>4</v>
      </c>
      <c r="M82" s="71">
        <v>2</v>
      </c>
      <c r="N82" s="73">
        <v>4</v>
      </c>
      <c r="O82" s="71"/>
      <c r="P82" s="72"/>
      <c r="Q82" s="71"/>
      <c r="R82" s="71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6" t="s">
        <v>25</v>
      </c>
      <c r="AM82" s="12"/>
      <c r="AN82" s="96"/>
      <c r="AO82" s="105"/>
      <c r="AP82" s="105"/>
      <c r="AQ82" s="11"/>
      <c r="AR82" s="11"/>
    </row>
    <row r="83" spans="1:44" s="4" customFormat="1" ht="19.5" thickBot="1" x14ac:dyDescent="0.35">
      <c r="A83" s="88"/>
      <c r="B83" s="89"/>
      <c r="C83" s="79"/>
      <c r="D83" s="80"/>
      <c r="E83" s="80"/>
      <c r="F83" s="81">
        <f t="shared" ref="F83" si="59">SUM(G83:AD83)</f>
        <v>0</v>
      </c>
      <c r="G83" s="79"/>
      <c r="H83" s="80"/>
      <c r="I83" s="80"/>
      <c r="J83" s="79"/>
      <c r="K83" s="79"/>
      <c r="L83" s="80"/>
      <c r="M83" s="80"/>
      <c r="N83" s="81"/>
      <c r="O83" s="86"/>
      <c r="P83" s="87"/>
      <c r="Q83" s="86"/>
      <c r="R83" s="86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1">
        <v>36</v>
      </c>
      <c r="AM83" s="12"/>
      <c r="AN83" s="96"/>
      <c r="AO83" s="105"/>
      <c r="AP83" s="105"/>
      <c r="AQ83" s="11"/>
      <c r="AR83" s="11"/>
    </row>
    <row r="84" spans="1:44" s="4" customFormat="1" ht="75" x14ac:dyDescent="0.3">
      <c r="A84" s="82">
        <v>30</v>
      </c>
      <c r="B84" s="83" t="s">
        <v>51</v>
      </c>
      <c r="C84" s="64">
        <f t="shared" ref="C84" si="60">SUM(D84:F86)</f>
        <v>32</v>
      </c>
      <c r="D84" s="65">
        <f t="shared" ref="D84" si="61">SUM(G84:AD84)</f>
        <v>16</v>
      </c>
      <c r="E84" s="65"/>
      <c r="F84" s="66"/>
      <c r="G84" s="67">
        <v>2</v>
      </c>
      <c r="H84" s="67">
        <v>2</v>
      </c>
      <c r="I84" s="67">
        <v>2</v>
      </c>
      <c r="J84" s="67">
        <v>2</v>
      </c>
      <c r="K84" s="67">
        <v>2</v>
      </c>
      <c r="L84" s="67">
        <v>2</v>
      </c>
      <c r="M84" s="67">
        <v>2</v>
      </c>
      <c r="N84" s="135">
        <v>2</v>
      </c>
      <c r="O84" s="64"/>
      <c r="P84" s="65"/>
      <c r="Q84" s="64"/>
      <c r="R84" s="64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6" t="s">
        <v>19</v>
      </c>
      <c r="AM84" s="11"/>
      <c r="AN84" s="11"/>
      <c r="AO84" s="11"/>
      <c r="AP84" s="11"/>
      <c r="AQ84" s="11"/>
      <c r="AR84" s="11"/>
    </row>
    <row r="85" spans="1:44" s="4" customFormat="1" x14ac:dyDescent="0.3">
      <c r="A85" s="84"/>
      <c r="B85" s="85"/>
      <c r="C85" s="71"/>
      <c r="D85" s="72"/>
      <c r="E85" s="72">
        <f t="shared" ref="E85" si="62">SUM(G85:AD85)</f>
        <v>16</v>
      </c>
      <c r="F85" s="73"/>
      <c r="G85" s="71">
        <v>2</v>
      </c>
      <c r="H85" s="71">
        <v>2</v>
      </c>
      <c r="I85" s="71">
        <v>2</v>
      </c>
      <c r="J85" s="71">
        <v>2</v>
      </c>
      <c r="K85" s="71">
        <v>2</v>
      </c>
      <c r="L85" s="71">
        <v>2</v>
      </c>
      <c r="M85" s="71">
        <v>2</v>
      </c>
      <c r="N85" s="73">
        <v>2</v>
      </c>
      <c r="O85" s="71"/>
      <c r="P85" s="72"/>
      <c r="Q85" s="71"/>
      <c r="R85" s="71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6"/>
      <c r="AM85" s="12"/>
      <c r="AN85" s="96"/>
      <c r="AO85" s="105"/>
      <c r="AP85" s="105"/>
      <c r="AQ85" s="11"/>
      <c r="AR85" s="11"/>
    </row>
    <row r="86" spans="1:44" s="4" customFormat="1" ht="19.5" thickBot="1" x14ac:dyDescent="0.35">
      <c r="A86" s="98"/>
      <c r="B86" s="89"/>
      <c r="C86" s="79"/>
      <c r="D86" s="80"/>
      <c r="E86" s="80"/>
      <c r="F86" s="81">
        <f t="shared" ref="F86" si="63">SUM(G86:AD86)</f>
        <v>0</v>
      </c>
      <c r="G86" s="79"/>
      <c r="H86" s="80"/>
      <c r="I86" s="80"/>
      <c r="J86" s="79"/>
      <c r="K86" s="79"/>
      <c r="L86" s="80"/>
      <c r="M86" s="80"/>
      <c r="N86" s="81"/>
      <c r="O86" s="86"/>
      <c r="P86" s="87"/>
      <c r="Q86" s="86"/>
      <c r="R86" s="86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1">
        <v>36</v>
      </c>
      <c r="AM86" s="12"/>
      <c r="AN86" s="96"/>
      <c r="AO86" s="105"/>
      <c r="AP86" s="105"/>
      <c r="AQ86" s="11"/>
      <c r="AR86" s="11"/>
    </row>
  </sheetData>
  <mergeCells count="67">
    <mergeCell ref="AO73:AP73"/>
    <mergeCell ref="AO78:AP78"/>
    <mergeCell ref="A75:AE75"/>
    <mergeCell ref="AO82:AP82"/>
    <mergeCell ref="A80:AE80"/>
    <mergeCell ref="AO55:AP55"/>
    <mergeCell ref="AO58:AP58"/>
    <mergeCell ref="AO59:AP59"/>
    <mergeCell ref="AO62:AP62"/>
    <mergeCell ref="AO65:AP65"/>
    <mergeCell ref="AO29:AP29"/>
    <mergeCell ref="AO30:AP30"/>
    <mergeCell ref="AO32:AP32"/>
    <mergeCell ref="AO33:AP33"/>
    <mergeCell ref="AO35:AP35"/>
    <mergeCell ref="AO67:AP67"/>
    <mergeCell ref="AO68:AP68"/>
    <mergeCell ref="AO70:AP70"/>
    <mergeCell ref="AO71:AP71"/>
    <mergeCell ref="A76:AE76"/>
    <mergeCell ref="AO85:AP85"/>
    <mergeCell ref="AO74:AP74"/>
    <mergeCell ref="AO75:AP75"/>
    <mergeCell ref="AO79:AP79"/>
    <mergeCell ref="AO80:AP80"/>
    <mergeCell ref="AO86:AP86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L13:AO13"/>
    <mergeCell ref="A14:AE14"/>
    <mergeCell ref="A27:AE27"/>
    <mergeCell ref="AO27:AP27"/>
    <mergeCell ref="AO22:AP22"/>
    <mergeCell ref="AO23:AP23"/>
    <mergeCell ref="A15:AE15"/>
    <mergeCell ref="A20:AE20"/>
    <mergeCell ref="AO20:AP20"/>
    <mergeCell ref="AO17:AP17"/>
    <mergeCell ref="AO18:AP18"/>
    <mergeCell ref="A19:AE19"/>
    <mergeCell ref="AO56:AP56"/>
    <mergeCell ref="AO64:AP64"/>
    <mergeCell ref="AO61:AP61"/>
    <mergeCell ref="AO83:AP83"/>
    <mergeCell ref="AO47:AP47"/>
    <mergeCell ref="AO49:AP49"/>
    <mergeCell ref="AO39:AP39"/>
    <mergeCell ref="AO36:AP36"/>
    <mergeCell ref="A46:AE46"/>
    <mergeCell ref="A47:AE47"/>
    <mergeCell ref="AO50:AP50"/>
    <mergeCell ref="AO38:AP38"/>
  </mergeCells>
  <conditionalFormatting sqref="A53">
    <cfRule type="expression" dxfId="8" priority="9" stopIfTrue="1">
      <formula>$DB49=1</formula>
    </cfRule>
  </conditionalFormatting>
  <conditionalFormatting sqref="A53:B53">
    <cfRule type="expression" dxfId="7" priority="7" stopIfTrue="1">
      <formula>$CV49&gt;0</formula>
    </cfRule>
    <cfRule type="expression" dxfId="6" priority="8" stopIfTrue="1">
      <formula>$CU49&gt;0</formula>
    </cfRule>
  </conditionalFormatting>
  <conditionalFormatting sqref="A53">
    <cfRule type="expression" dxfId="5" priority="6" stopIfTrue="1">
      <formula>$DB49=1</formula>
    </cfRule>
  </conditionalFormatting>
  <conditionalFormatting sqref="A53:B53">
    <cfRule type="expression" dxfId="4" priority="4" stopIfTrue="1">
      <formula>$CV49&gt;0</formula>
    </cfRule>
    <cfRule type="expression" dxfId="3" priority="5" stopIfTrue="1">
      <formula>$CU49&gt;0</formula>
    </cfRule>
  </conditionalFormatting>
  <conditionalFormatting sqref="A53">
    <cfRule type="expression" dxfId="2" priority="3" stopIfTrue="1">
      <formula>$DC49=1</formula>
    </cfRule>
  </conditionalFormatting>
  <conditionalFormatting sqref="A53:B53">
    <cfRule type="expression" dxfId="1" priority="1" stopIfTrue="1">
      <formula>$CW49&gt;0</formula>
    </cfRule>
    <cfRule type="expression" dxfId="0" priority="2" stopIfTrue="1">
      <formula>$CV49&gt;0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Наташа</cp:lastModifiedBy>
  <cp:lastPrinted>2021-10-06T09:01:46Z</cp:lastPrinted>
  <dcterms:created xsi:type="dcterms:W3CDTF">2015-02-10T13:27:18Z</dcterms:created>
  <dcterms:modified xsi:type="dcterms:W3CDTF">2021-10-21T15:12:15Z</dcterms:modified>
</cp:coreProperties>
</file>