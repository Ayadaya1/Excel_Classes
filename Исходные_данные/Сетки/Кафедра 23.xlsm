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70" i="1"/>
  <c r="E69"/>
  <c r="D68"/>
  <c r="C68" s="1"/>
  <c r="F66"/>
  <c r="E65"/>
  <c r="D64"/>
  <c r="C64" s="1"/>
  <c r="F63"/>
  <c r="E62"/>
  <c r="D61"/>
  <c r="F37"/>
  <c r="E36"/>
  <c r="C35" s="1"/>
  <c r="D35"/>
  <c r="F34"/>
  <c r="E33"/>
  <c r="C32" s="1"/>
  <c r="D32"/>
  <c r="C61" l="1"/>
  <c r="F138"/>
  <c r="E137"/>
  <c r="D136"/>
  <c r="C136" s="1"/>
  <c r="F134" l="1"/>
  <c r="E133"/>
  <c r="D132"/>
  <c r="C132"/>
  <c r="F131"/>
  <c r="E130"/>
  <c r="D129"/>
  <c r="C129"/>
  <c r="F127" l="1"/>
  <c r="E126"/>
  <c r="D125"/>
  <c r="C125" s="1"/>
  <c r="F124"/>
  <c r="E123"/>
  <c r="D122"/>
  <c r="C122" s="1"/>
  <c r="F120" l="1"/>
  <c r="E119"/>
  <c r="D118"/>
  <c r="C118" s="1"/>
  <c r="F117"/>
  <c r="E116"/>
  <c r="D115"/>
  <c r="C115" s="1"/>
  <c r="F112" l="1"/>
  <c r="E111"/>
  <c r="D110"/>
  <c r="C110" s="1"/>
  <c r="F108" l="1"/>
  <c r="E107"/>
  <c r="D106"/>
  <c r="C106" s="1"/>
  <c r="F104" l="1"/>
  <c r="E103"/>
  <c r="D102"/>
  <c r="C102" s="1"/>
  <c r="F100" l="1"/>
  <c r="E99"/>
  <c r="D98"/>
  <c r="C98" s="1"/>
  <c r="F96" l="1"/>
  <c r="E95"/>
  <c r="D94"/>
  <c r="C94" s="1"/>
  <c r="F93"/>
  <c r="E92"/>
  <c r="D91"/>
  <c r="C91" s="1"/>
  <c r="F90"/>
  <c r="E89"/>
  <c r="D88"/>
  <c r="C88" s="1"/>
  <c r="F87"/>
  <c r="E86"/>
  <c r="D85"/>
  <c r="C85" s="1"/>
  <c r="F83" l="1"/>
  <c r="E82"/>
  <c r="D81"/>
  <c r="C81"/>
  <c r="F80"/>
  <c r="E79"/>
  <c r="D78"/>
  <c r="C78"/>
  <c r="F77"/>
  <c r="E76"/>
  <c r="D75"/>
  <c r="C75"/>
  <c r="F74"/>
  <c r="E73"/>
  <c r="D72"/>
  <c r="C72"/>
  <c r="F58" l="1"/>
  <c r="E57"/>
  <c r="D56"/>
  <c r="C56" s="1"/>
  <c r="F54" l="1"/>
  <c r="E53"/>
  <c r="D52"/>
  <c r="C52" s="1"/>
  <c r="F51"/>
  <c r="E50"/>
  <c r="D49"/>
  <c r="C49" s="1"/>
  <c r="F48"/>
  <c r="E47"/>
  <c r="D46"/>
  <c r="C46" s="1"/>
  <c r="F44" l="1"/>
  <c r="E43"/>
  <c r="D42"/>
  <c r="C42" s="1"/>
  <c r="F41"/>
  <c r="E40"/>
  <c r="D39"/>
  <c r="C39" s="1"/>
  <c r="F29" l="1"/>
  <c r="E28"/>
  <c r="D27"/>
  <c r="C27"/>
  <c r="F25" l="1"/>
  <c r="E24"/>
  <c r="D23"/>
  <c r="C23"/>
  <c r="F22"/>
  <c r="E21"/>
  <c r="D20"/>
  <c r="C20"/>
  <c r="F18" l="1"/>
  <c r="E17"/>
  <c r="D16"/>
  <c r="C16" s="1"/>
</calcChain>
</file>

<file path=xl/sharedStrings.xml><?xml version="1.0" encoding="utf-8"?>
<sst xmlns="http://schemas.openxmlformats.org/spreadsheetml/2006/main" count="126" uniqueCount="74">
  <si>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</si>
  <si>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</si>
  <si>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</si>
  <si>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</si>
  <si>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</si>
  <si>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</si>
  <si>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</si>
  <si>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</si>
  <si>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</si>
  <si>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</si>
  <si>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</si>
  <si>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</si>
  <si>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</si>
  <si>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</si>
  <si>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</si>
  <si>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</si>
  <si>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</si>
  <si>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</si>
  <si>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Экзамен</t>
  </si>
  <si>
    <t xml:space="preserve">               2 КУРС</t>
  </si>
  <si>
    <t xml:space="preserve">               3 КУРС</t>
  </si>
  <si>
    <t xml:space="preserve">                                       Дисциплины 291, 292 (ОПУВТ)</t>
  </si>
  <si>
    <t>Дифф.зачет</t>
  </si>
  <si>
    <t>Факультатив</t>
  </si>
  <si>
    <t xml:space="preserve">                                       Дисциплины 393 (ОАБ)</t>
  </si>
  <si>
    <t>Зачет</t>
  </si>
  <si>
    <t xml:space="preserve">                                       Дисциплины 396 (ООТБ)</t>
  </si>
  <si>
    <t xml:space="preserve">               4 КУРС</t>
  </si>
  <si>
    <t xml:space="preserve">                                            Кафедра № 23</t>
  </si>
  <si>
    <t>Дисциплины кафедры № 23</t>
  </si>
  <si>
    <t>Организация перевозок на воздушном транспорте</t>
  </si>
  <si>
    <t>КР</t>
  </si>
  <si>
    <t xml:space="preserve">                                       Дисциплины 211, 212 (ОПУВТ)</t>
  </si>
  <si>
    <t>Аэропорты и аэропортовая деятельность</t>
  </si>
  <si>
    <t>Транспортная инфраструктура</t>
  </si>
  <si>
    <t xml:space="preserve">                                       Дисциплины 213, 214, 214а  (ОрАД)</t>
  </si>
  <si>
    <t>Аэродромы и аэропорты</t>
  </si>
  <si>
    <t xml:space="preserve">                                       Дисциплины 319  (ОБПрВТ)</t>
  </si>
  <si>
    <t>Аэровокзальные и грузовые комплексы</t>
  </si>
  <si>
    <t xml:space="preserve">Научно-исследовательская работа обучающегося </t>
  </si>
  <si>
    <t xml:space="preserve">                                       Дисциплины 201, 202 (ОПУВТ)</t>
  </si>
  <si>
    <t>Эксплуатация аэродромов</t>
  </si>
  <si>
    <t>Организация  перевозок на воздушном транспорте</t>
  </si>
  <si>
    <t>Организация доступной среды на транспорте</t>
  </si>
  <si>
    <t xml:space="preserve">                                       Дисциплины 203, 204  (ОрАД)</t>
  </si>
  <si>
    <t>Воздушные перевозки и авиационные работы</t>
  </si>
  <si>
    <t xml:space="preserve">                                       Дисциплины 206  (ОрТОР)</t>
  </si>
  <si>
    <t>Оперативное управление производственно-технологическими процессами</t>
  </si>
  <si>
    <t>Технологии пассажирских авиаперевозок</t>
  </si>
  <si>
    <t>Расчет коммерческой загрузки и центровки воздушного судна</t>
  </si>
  <si>
    <t>Основы научных исследований</t>
  </si>
  <si>
    <t>Автоматизированные системы управления производственно-технологическими процессами в аэропортах</t>
  </si>
  <si>
    <t>Технологические процессы в аэропортах</t>
  </si>
  <si>
    <t>Сертификация и лицензирование на воздушном транспорте</t>
  </si>
  <si>
    <t xml:space="preserve">                                       Дисциплины 293, 294  (ОрАД)</t>
  </si>
  <si>
    <t xml:space="preserve">                                       Дисциплины 391  (АСУВД)</t>
  </si>
  <si>
    <t xml:space="preserve">Зачет </t>
  </si>
  <si>
    <t xml:space="preserve">                                       Дисциплины 399 (ОБПрВТ)</t>
  </si>
  <si>
    <t>Организация транспортных услуг</t>
  </si>
  <si>
    <t>Технологии грузовых авиаперевозок</t>
  </si>
  <si>
    <t xml:space="preserve">Дифф.зачет </t>
  </si>
  <si>
    <t xml:space="preserve">                                       Дисциплины 281, 282 (ОПУВТ)</t>
  </si>
  <si>
    <t>Организация и технологии работы координационно-диспетчерских центров в аэропортах</t>
  </si>
  <si>
    <t>Методика выполнения выпускной квалификационной работы</t>
  </si>
  <si>
    <t>факультатив</t>
  </si>
  <si>
    <t xml:space="preserve">                                       Дисциплины 283, 284  (ОрАД)</t>
  </si>
  <si>
    <t>Оперативное управление производственно-технологическим процессом</t>
  </si>
  <si>
    <t>Механизация и автоматизация технологических процессов</t>
  </si>
  <si>
    <t xml:space="preserve">                                       Дисциплины 386 (ООТБ)</t>
  </si>
  <si>
    <t xml:space="preserve">                                       Дисциплины 387 (БТПП)</t>
  </si>
  <si>
    <t>Дисциплины 100,101  (ОЛР)</t>
  </si>
  <si>
    <t>Перенос с 5 семестра</t>
  </si>
  <si>
    <t>Дисциплины  193,194 (ЛЭГВС)</t>
  </si>
  <si>
    <t>Дисциплины  198,199  (ОрАНО)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</si>
</sst>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8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0" borderId="52" xfId="0" applyFont="1" applyFill="1" applyBorder="1" applyAlignment="1">
      <alignment wrapText="1"/>
    </xf>
    <xf numFmtId="0" fontId="7" fillId="3" borderId="42" xfId="0" applyFont="1" applyFill="1" applyBorder="1" applyAlignment="1">
      <alignment wrapText="1"/>
    </xf>
    <xf numFmtId="0" fontId="3" fillId="3" borderId="53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3" fillId="3" borderId="41" xfId="0" applyFont="1" applyFill="1" applyBorder="1" applyAlignment="1">
      <alignment horizontal="center" vertical="center" wrapText="1"/>
    </xf>
    <xf numFmtId="0" fontId="5" fillId="3" borderId="4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wrapTex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34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31" xfId="0" applyFont="1" applyFill="1" applyBorder="1" applyAlignment="1">
      <alignment vertical="center" wrapText="1"/>
    </xf>
    <xf numFmtId="0" fontId="3" fillId="3" borderId="4" xfId="0" applyFont="1" applyFill="1" applyBorder="1" applyAlignment="1">
      <alignment vertical="center" wrapText="1"/>
    </xf>
    <xf numFmtId="0" fontId="3" fillId="3" borderId="54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18" xfId="0" applyFont="1" applyFill="1" applyBorder="1" applyAlignment="1">
      <alignment vertical="center" wrapText="1"/>
    </xf>
    <xf numFmtId="0" fontId="3" fillId="3" borderId="56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41" xfId="0" applyFont="1" applyFill="1" applyBorder="1" applyAlignment="1">
      <alignment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vertical="center" wrapText="1"/>
    </xf>
    <xf numFmtId="0" fontId="3" fillId="3" borderId="40" xfId="0" applyFont="1" applyFill="1" applyBorder="1" applyAlignment="1">
      <alignment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59" xfId="0" applyFont="1" applyFill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51" xfId="0" applyFont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3" fillId="0" borderId="0" xfId="0" applyFont="1" applyFill="1" applyAlignment="1">
      <alignment horizontal="center" wrapText="1"/>
    </xf>
  </cellXfs>
  <cellStyles count="2">
    <cellStyle name="Обычный" xfId="0" builtinId="0"/>
    <cellStyle name="Обычный 3" xfId="1"/>
  </cellStyles>
  <dxfs count="27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38"/>
  <sheetViews>
    <sheetView tabSelected="1" topLeftCell="A52" zoomScale="70" zoomScaleNormal="70" workbookViewId="0">
      <selection activeCell="AK72" sqref="AK72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56" t="s">
        <v>15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92"/>
    </row>
    <row r="2" spans="1:44">
      <c r="A2" s="157" t="s">
        <v>16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44" ht="18.75" customHeight="1">
      <c r="A3" s="182"/>
      <c r="B3" s="182"/>
      <c r="C3" s="182"/>
      <c r="H3" s="158" t="s">
        <v>28</v>
      </c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64" t="s">
        <v>1</v>
      </c>
      <c r="B5" s="167" t="s">
        <v>0</v>
      </c>
      <c r="C5" s="159" t="s">
        <v>4</v>
      </c>
      <c r="D5" s="160"/>
      <c r="E5" s="160"/>
      <c r="F5" s="160"/>
      <c r="G5" s="183" t="s">
        <v>9</v>
      </c>
      <c r="H5" s="181"/>
      <c r="I5" s="173" t="s">
        <v>10</v>
      </c>
      <c r="J5" s="174"/>
      <c r="K5" s="174"/>
      <c r="L5" s="175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73" t="s">
        <v>13</v>
      </c>
      <c r="V5" s="181"/>
      <c r="W5" s="174"/>
      <c r="X5" s="174"/>
      <c r="Y5" s="54"/>
      <c r="Z5" s="173" t="s">
        <v>14</v>
      </c>
      <c r="AA5" s="174"/>
      <c r="AB5" s="174"/>
      <c r="AC5" s="174"/>
      <c r="AD5" s="61"/>
      <c r="AE5" s="167" t="s">
        <v>5</v>
      </c>
    </row>
    <row r="6" spans="1:44" ht="20.100000000000001" customHeight="1" thickBot="1">
      <c r="A6" s="165"/>
      <c r="B6" s="168"/>
      <c r="C6" s="161"/>
      <c r="D6" s="162"/>
      <c r="E6" s="162"/>
      <c r="F6" s="163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68"/>
    </row>
    <row r="7" spans="1:44" ht="20.100000000000001" customHeight="1" thickBot="1">
      <c r="A7" s="165"/>
      <c r="B7" s="168"/>
      <c r="C7" s="170" t="s">
        <v>2</v>
      </c>
      <c r="D7" s="178" t="s">
        <v>3</v>
      </c>
      <c r="E7" s="179"/>
      <c r="F7" s="180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68"/>
    </row>
    <row r="8" spans="1:44" ht="20.100000000000001" customHeight="1">
      <c r="A8" s="165"/>
      <c r="B8" s="168"/>
      <c r="C8" s="171"/>
      <c r="D8" s="176" t="s">
        <v>6</v>
      </c>
      <c r="E8" s="171" t="s">
        <v>7</v>
      </c>
      <c r="F8" s="171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68"/>
    </row>
    <row r="9" spans="1:44" s="4" customFormat="1" ht="20.100000000000001" customHeight="1" thickBot="1">
      <c r="A9" s="165"/>
      <c r="B9" s="168"/>
      <c r="C9" s="171"/>
      <c r="D9" s="176"/>
      <c r="E9" s="171"/>
      <c r="F9" s="171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63"/>
    </row>
    <row r="10" spans="1:44" s="4" customFormat="1" ht="20.100000000000001" customHeight="1">
      <c r="A10" s="165"/>
      <c r="B10" s="168"/>
      <c r="C10" s="171"/>
      <c r="D10" s="176"/>
      <c r="E10" s="171"/>
      <c r="F10" s="171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68"/>
    </row>
    <row r="11" spans="1:44" s="4" customFormat="1" ht="20.100000000000001" customHeight="1" thickBot="1">
      <c r="A11" s="165"/>
      <c r="B11" s="168"/>
      <c r="C11" s="171"/>
      <c r="D11" s="176"/>
      <c r="E11" s="171"/>
      <c r="F11" s="171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68"/>
    </row>
    <row r="12" spans="1:44" s="4" customFormat="1" ht="20.100000000000001" customHeight="1" thickBot="1">
      <c r="A12" s="166"/>
      <c r="B12" s="169"/>
      <c r="C12" s="172"/>
      <c r="D12" s="177"/>
      <c r="E12" s="172"/>
      <c r="F12" s="172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69"/>
    </row>
    <row r="13" spans="1:44" s="4" customFormat="1" ht="35.25" customHeight="1">
      <c r="A13" s="94"/>
      <c r="B13" s="94"/>
      <c r="C13" s="93"/>
      <c r="D13" s="93"/>
      <c r="E13" s="93"/>
      <c r="F13" s="93"/>
      <c r="G13" s="93"/>
      <c r="H13" s="93"/>
      <c r="I13" s="93"/>
      <c r="J13" s="93"/>
      <c r="K13" s="93"/>
      <c r="L13" s="184" t="s">
        <v>29</v>
      </c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</row>
    <row r="14" spans="1:44" s="4" customFormat="1" ht="19.5" customHeight="1" thickBot="1">
      <c r="A14" s="185" t="s">
        <v>17</v>
      </c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M14" s="12"/>
      <c r="AN14" s="95"/>
      <c r="AO14" s="96"/>
      <c r="AP14" s="96"/>
      <c r="AQ14" s="11"/>
      <c r="AR14" s="11"/>
    </row>
    <row r="15" spans="1:44" s="4" customFormat="1" ht="19.5" thickBot="1">
      <c r="A15" s="141" t="s">
        <v>32</v>
      </c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3"/>
      <c r="AM15" s="11"/>
      <c r="AN15" s="11"/>
      <c r="AO15" s="11"/>
      <c r="AP15" s="11"/>
      <c r="AQ15" s="11"/>
      <c r="AR15" s="11"/>
    </row>
    <row r="16" spans="1:44" s="4" customFormat="1" ht="56.25">
      <c r="A16" s="82">
        <v>23</v>
      </c>
      <c r="B16" s="83" t="s">
        <v>30</v>
      </c>
      <c r="C16" s="64">
        <f t="shared" ref="C16" si="0">SUM(D16:F18)</f>
        <v>108</v>
      </c>
      <c r="D16" s="65">
        <f t="shared" ref="D16" si="1">SUM(G16:X16)</f>
        <v>54</v>
      </c>
      <c r="E16" s="65"/>
      <c r="F16" s="66"/>
      <c r="G16" s="67">
        <v>4</v>
      </c>
      <c r="H16" s="68">
        <v>2</v>
      </c>
      <c r="I16" s="68">
        <v>4</v>
      </c>
      <c r="J16" s="67">
        <v>2</v>
      </c>
      <c r="K16" s="64">
        <v>4</v>
      </c>
      <c r="L16" s="65">
        <v>2</v>
      </c>
      <c r="M16" s="65">
        <v>4</v>
      </c>
      <c r="N16" s="65">
        <v>2</v>
      </c>
      <c r="O16" s="65">
        <v>4</v>
      </c>
      <c r="P16" s="65">
        <v>2</v>
      </c>
      <c r="Q16" s="64">
        <v>4</v>
      </c>
      <c r="R16" s="64">
        <v>2</v>
      </c>
      <c r="S16" s="65">
        <v>4</v>
      </c>
      <c r="T16" s="65">
        <v>2</v>
      </c>
      <c r="U16" s="65">
        <v>4</v>
      </c>
      <c r="V16" s="65">
        <v>2</v>
      </c>
      <c r="W16" s="65">
        <v>4</v>
      </c>
      <c r="X16" s="66">
        <v>2</v>
      </c>
      <c r="Y16" s="64"/>
      <c r="Z16" s="65"/>
      <c r="AA16" s="65"/>
      <c r="AB16" s="65"/>
      <c r="AC16" s="65"/>
      <c r="AD16" s="65"/>
      <c r="AE16" s="66" t="s">
        <v>18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SUM(G17:X17)</f>
        <v>54</v>
      </c>
      <c r="F17" s="73"/>
      <c r="G17" s="71">
        <v>2</v>
      </c>
      <c r="H17" s="72">
        <v>4</v>
      </c>
      <c r="I17" s="72">
        <v>2</v>
      </c>
      <c r="J17" s="71">
        <v>4</v>
      </c>
      <c r="K17" s="74">
        <v>2</v>
      </c>
      <c r="L17" s="75">
        <v>4</v>
      </c>
      <c r="M17" s="75">
        <v>2</v>
      </c>
      <c r="N17" s="75">
        <v>4</v>
      </c>
      <c r="O17" s="75">
        <v>2</v>
      </c>
      <c r="P17" s="75">
        <v>4</v>
      </c>
      <c r="Q17" s="71">
        <v>2</v>
      </c>
      <c r="R17" s="71">
        <v>4</v>
      </c>
      <c r="S17" s="72">
        <v>2</v>
      </c>
      <c r="T17" s="72">
        <v>4</v>
      </c>
      <c r="U17" s="72">
        <v>2</v>
      </c>
      <c r="V17" s="72">
        <v>4</v>
      </c>
      <c r="W17" s="72">
        <v>2</v>
      </c>
      <c r="X17" s="73">
        <v>4</v>
      </c>
      <c r="Y17" s="71"/>
      <c r="Z17" s="72"/>
      <c r="AA17" s="72"/>
      <c r="AB17" s="72"/>
      <c r="AC17" s="72"/>
      <c r="AD17" s="72"/>
      <c r="AE17" s="76" t="s">
        <v>31</v>
      </c>
      <c r="AM17" s="12"/>
      <c r="AN17" s="95"/>
      <c r="AO17" s="144"/>
      <c r="AP17" s="144"/>
      <c r="AQ17" s="11"/>
      <c r="AR17" s="11"/>
    </row>
    <row r="18" spans="1:44" s="4" customFormat="1" ht="19.5" thickBot="1">
      <c r="A18" s="97"/>
      <c r="B18" s="89"/>
      <c r="C18" s="79"/>
      <c r="D18" s="80"/>
      <c r="E18" s="80"/>
      <c r="F18" s="81">
        <f t="shared" ref="F18" si="3">SUM(G18:X18)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86"/>
      <c r="R18" s="86"/>
      <c r="S18" s="87"/>
      <c r="T18" s="87"/>
      <c r="U18" s="87"/>
      <c r="V18" s="87"/>
      <c r="W18" s="87"/>
      <c r="X18" s="91"/>
      <c r="Y18" s="86"/>
      <c r="Z18" s="87"/>
      <c r="AA18" s="87"/>
      <c r="AB18" s="87"/>
      <c r="AC18" s="87"/>
      <c r="AD18" s="87"/>
      <c r="AE18" s="81">
        <v>36</v>
      </c>
      <c r="AM18" s="12"/>
      <c r="AN18" s="95"/>
      <c r="AO18" s="144"/>
      <c r="AP18" s="144"/>
      <c r="AQ18" s="11"/>
      <c r="AR18" s="11"/>
    </row>
    <row r="19" spans="1:44" s="4" customFormat="1" ht="19.5" thickBot="1">
      <c r="A19" s="141" t="s">
        <v>35</v>
      </c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3"/>
      <c r="AM19" s="12"/>
      <c r="AN19" s="95"/>
      <c r="AO19" s="144"/>
      <c r="AP19" s="144"/>
      <c r="AQ19" s="11"/>
      <c r="AR19" s="11"/>
    </row>
    <row r="20" spans="1:44" s="4" customFormat="1" ht="56.25">
      <c r="A20" s="82">
        <v>23</v>
      </c>
      <c r="B20" s="83" t="s">
        <v>33</v>
      </c>
      <c r="C20" s="64">
        <f t="shared" ref="C20" si="4">SUM(D20:F22)</f>
        <v>90</v>
      </c>
      <c r="D20" s="65">
        <f t="shared" ref="D20" si="5">SUM(G20:X20)</f>
        <v>36</v>
      </c>
      <c r="E20" s="65"/>
      <c r="F20" s="66"/>
      <c r="G20" s="67">
        <v>2</v>
      </c>
      <c r="H20" s="67">
        <v>2</v>
      </c>
      <c r="I20" s="67">
        <v>2</v>
      </c>
      <c r="J20" s="67">
        <v>2</v>
      </c>
      <c r="K20" s="65">
        <v>2</v>
      </c>
      <c r="L20" s="64">
        <v>2</v>
      </c>
      <c r="M20" s="64">
        <v>2</v>
      </c>
      <c r="N20" s="64">
        <v>2</v>
      </c>
      <c r="O20" s="64">
        <v>2</v>
      </c>
      <c r="P20" s="64">
        <v>2</v>
      </c>
      <c r="Q20" s="67">
        <v>2</v>
      </c>
      <c r="R20" s="67">
        <v>2</v>
      </c>
      <c r="S20" s="67">
        <v>2</v>
      </c>
      <c r="T20" s="67">
        <v>2</v>
      </c>
      <c r="U20" s="67">
        <v>2</v>
      </c>
      <c r="V20" s="67">
        <v>2</v>
      </c>
      <c r="W20" s="67">
        <v>2</v>
      </c>
      <c r="X20" s="66">
        <v>2</v>
      </c>
      <c r="Y20" s="64"/>
      <c r="Z20" s="65"/>
      <c r="AA20" s="65"/>
      <c r="AB20" s="65"/>
      <c r="AC20" s="65"/>
      <c r="AD20" s="65"/>
      <c r="AE20" s="66" t="s">
        <v>18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 t="shared" ref="E21" si="6">SUM(G21:X21)</f>
        <v>54</v>
      </c>
      <c r="F21" s="73"/>
      <c r="G21" s="71">
        <v>2</v>
      </c>
      <c r="H21" s="72">
        <v>4</v>
      </c>
      <c r="I21" s="72">
        <v>2</v>
      </c>
      <c r="J21" s="71">
        <v>4</v>
      </c>
      <c r="K21" s="74">
        <v>2</v>
      </c>
      <c r="L21" s="75">
        <v>4</v>
      </c>
      <c r="M21" s="75">
        <v>2</v>
      </c>
      <c r="N21" s="75">
        <v>4</v>
      </c>
      <c r="O21" s="75">
        <v>2</v>
      </c>
      <c r="P21" s="75">
        <v>4</v>
      </c>
      <c r="Q21" s="71">
        <v>2</v>
      </c>
      <c r="R21" s="71">
        <v>4</v>
      </c>
      <c r="S21" s="72">
        <v>2</v>
      </c>
      <c r="T21" s="72">
        <v>4</v>
      </c>
      <c r="U21" s="72">
        <v>2</v>
      </c>
      <c r="V21" s="72">
        <v>4</v>
      </c>
      <c r="W21" s="72">
        <v>2</v>
      </c>
      <c r="X21" s="73">
        <v>4</v>
      </c>
      <c r="Y21" s="71"/>
      <c r="Z21" s="72"/>
      <c r="AA21" s="72"/>
      <c r="AB21" s="72"/>
      <c r="AC21" s="72"/>
      <c r="AD21" s="72"/>
      <c r="AE21" s="76" t="s">
        <v>31</v>
      </c>
      <c r="AM21" s="12"/>
      <c r="AN21" s="95"/>
      <c r="AO21" s="144"/>
      <c r="AP21" s="144"/>
      <c r="AQ21" s="11"/>
      <c r="AR21" s="11"/>
    </row>
    <row r="22" spans="1:44" s="4" customFormat="1" ht="19.5" thickBot="1">
      <c r="A22" s="97"/>
      <c r="B22" s="89"/>
      <c r="C22" s="79"/>
      <c r="D22" s="80"/>
      <c r="E22" s="80"/>
      <c r="F22" s="81">
        <f t="shared" ref="F22" si="7">SUM(G22:X22)</f>
        <v>0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86"/>
      <c r="R22" s="86"/>
      <c r="S22" s="87"/>
      <c r="T22" s="87"/>
      <c r="U22" s="87"/>
      <c r="V22" s="87"/>
      <c r="W22" s="87"/>
      <c r="X22" s="91"/>
      <c r="Y22" s="86"/>
      <c r="Z22" s="87"/>
      <c r="AA22" s="87"/>
      <c r="AB22" s="87"/>
      <c r="AC22" s="87"/>
      <c r="AD22" s="87"/>
      <c r="AE22" s="81">
        <v>36</v>
      </c>
      <c r="AM22" s="12"/>
      <c r="AN22" s="95"/>
      <c r="AO22" s="144"/>
      <c r="AP22" s="144"/>
      <c r="AQ22" s="11"/>
      <c r="AR22" s="11"/>
    </row>
    <row r="23" spans="1:44" ht="37.5">
      <c r="A23" s="82">
        <v>23</v>
      </c>
      <c r="B23" s="83" t="s">
        <v>34</v>
      </c>
      <c r="C23" s="64">
        <f t="shared" ref="C23" si="8">SUM(D23:F25)</f>
        <v>90</v>
      </c>
      <c r="D23" s="65">
        <f t="shared" ref="D23" si="9">SUM(G23:X23)</f>
        <v>36</v>
      </c>
      <c r="E23" s="65"/>
      <c r="F23" s="66"/>
      <c r="G23" s="67">
        <v>2</v>
      </c>
      <c r="H23" s="67">
        <v>2</v>
      </c>
      <c r="I23" s="67">
        <v>2</v>
      </c>
      <c r="J23" s="67">
        <v>2</v>
      </c>
      <c r="K23" s="65">
        <v>2</v>
      </c>
      <c r="L23" s="64">
        <v>2</v>
      </c>
      <c r="M23" s="64">
        <v>2</v>
      </c>
      <c r="N23" s="64">
        <v>2</v>
      </c>
      <c r="O23" s="64">
        <v>2</v>
      </c>
      <c r="P23" s="64">
        <v>2</v>
      </c>
      <c r="Q23" s="67">
        <v>2</v>
      </c>
      <c r="R23" s="67">
        <v>2</v>
      </c>
      <c r="S23" s="67">
        <v>2</v>
      </c>
      <c r="T23" s="67">
        <v>2</v>
      </c>
      <c r="U23" s="67">
        <v>2</v>
      </c>
      <c r="V23" s="67">
        <v>2</v>
      </c>
      <c r="W23" s="67">
        <v>2</v>
      </c>
      <c r="X23" s="66">
        <v>2</v>
      </c>
      <c r="Y23" s="64"/>
      <c r="Z23" s="65"/>
      <c r="AA23" s="65"/>
      <c r="AB23" s="65"/>
      <c r="AC23" s="65"/>
      <c r="AD23" s="65"/>
      <c r="AE23" s="66" t="s">
        <v>18</v>
      </c>
    </row>
    <row r="24" spans="1:44">
      <c r="A24" s="84"/>
      <c r="B24" s="85"/>
      <c r="C24" s="71"/>
      <c r="D24" s="72"/>
      <c r="E24" s="72">
        <f t="shared" ref="E24" si="10">SUM(G24:X24)</f>
        <v>54</v>
      </c>
      <c r="F24" s="73"/>
      <c r="G24" s="71">
        <v>4</v>
      </c>
      <c r="H24" s="72">
        <v>2</v>
      </c>
      <c r="I24" s="72">
        <v>4</v>
      </c>
      <c r="J24" s="71">
        <v>2</v>
      </c>
      <c r="K24" s="74">
        <v>4</v>
      </c>
      <c r="L24" s="75">
        <v>2</v>
      </c>
      <c r="M24" s="75">
        <v>4</v>
      </c>
      <c r="N24" s="75">
        <v>2</v>
      </c>
      <c r="O24" s="75">
        <v>4</v>
      </c>
      <c r="P24" s="75">
        <v>2</v>
      </c>
      <c r="Q24" s="71">
        <v>4</v>
      </c>
      <c r="R24" s="71">
        <v>2</v>
      </c>
      <c r="S24" s="72">
        <v>4</v>
      </c>
      <c r="T24" s="72">
        <v>2</v>
      </c>
      <c r="U24" s="72">
        <v>4</v>
      </c>
      <c r="V24" s="72">
        <v>2</v>
      </c>
      <c r="W24" s="72">
        <v>2</v>
      </c>
      <c r="X24" s="73">
        <v>4</v>
      </c>
      <c r="Y24" s="71"/>
      <c r="Z24" s="72"/>
      <c r="AA24" s="72"/>
      <c r="AB24" s="72"/>
      <c r="AC24" s="72"/>
      <c r="AD24" s="72"/>
      <c r="AE24" s="76"/>
    </row>
    <row r="25" spans="1:44" ht="19.5" thickBot="1">
      <c r="A25" s="97"/>
      <c r="B25" s="89"/>
      <c r="C25" s="79"/>
      <c r="D25" s="80"/>
      <c r="E25" s="80"/>
      <c r="F25" s="81">
        <f t="shared" ref="F25" si="11">SUM(G25:X25)</f>
        <v>0</v>
      </c>
      <c r="G25" s="79"/>
      <c r="H25" s="80"/>
      <c r="I25" s="80"/>
      <c r="J25" s="79"/>
      <c r="K25" s="79"/>
      <c r="L25" s="80"/>
      <c r="M25" s="80"/>
      <c r="N25" s="80"/>
      <c r="O25" s="80"/>
      <c r="P25" s="80"/>
      <c r="Q25" s="86"/>
      <c r="R25" s="86"/>
      <c r="S25" s="87"/>
      <c r="T25" s="87"/>
      <c r="U25" s="87"/>
      <c r="V25" s="87"/>
      <c r="W25" s="87"/>
      <c r="X25" s="91"/>
      <c r="Y25" s="86"/>
      <c r="Z25" s="87"/>
      <c r="AA25" s="87"/>
      <c r="AB25" s="87"/>
      <c r="AC25" s="87"/>
      <c r="AD25" s="87"/>
      <c r="AE25" s="81">
        <v>36</v>
      </c>
    </row>
    <row r="26" spans="1:44" s="4" customFormat="1" ht="19.5" thickBot="1">
      <c r="A26" s="141" t="s">
        <v>37</v>
      </c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3"/>
      <c r="AM26" s="12"/>
      <c r="AN26" s="95"/>
      <c r="AO26" s="144"/>
      <c r="AP26" s="144"/>
      <c r="AQ26" s="11"/>
      <c r="AR26" s="11"/>
    </row>
    <row r="27" spans="1:44" s="4" customFormat="1" ht="19.5">
      <c r="A27" s="82">
        <v>23</v>
      </c>
      <c r="B27" s="83" t="s">
        <v>36</v>
      </c>
      <c r="C27" s="64">
        <f t="shared" ref="C27" si="12">SUM(D27:F29)</f>
        <v>54</v>
      </c>
      <c r="D27" s="65">
        <f t="shared" ref="D27" si="13">SUM(G27:X27)</f>
        <v>18</v>
      </c>
      <c r="E27" s="65"/>
      <c r="F27" s="66"/>
      <c r="G27" s="67">
        <v>2</v>
      </c>
      <c r="H27" s="68"/>
      <c r="I27" s="68">
        <v>2</v>
      </c>
      <c r="J27" s="67"/>
      <c r="K27" s="64">
        <v>2</v>
      </c>
      <c r="L27" s="65"/>
      <c r="M27" s="65">
        <v>2</v>
      </c>
      <c r="N27" s="65"/>
      <c r="O27" s="65">
        <v>2</v>
      </c>
      <c r="P27" s="65"/>
      <c r="Q27" s="64">
        <v>2</v>
      </c>
      <c r="R27" s="64"/>
      <c r="S27" s="65">
        <v>2</v>
      </c>
      <c r="T27" s="65"/>
      <c r="U27" s="65">
        <v>2</v>
      </c>
      <c r="V27" s="65"/>
      <c r="W27" s="65">
        <v>2</v>
      </c>
      <c r="X27" s="66"/>
      <c r="Y27" s="64"/>
      <c r="Z27" s="65"/>
      <c r="AA27" s="65"/>
      <c r="AB27" s="65"/>
      <c r="AC27" s="65"/>
      <c r="AD27" s="65"/>
      <c r="AE27" s="66" t="s">
        <v>18</v>
      </c>
      <c r="AM27" s="11"/>
      <c r="AN27" s="11"/>
      <c r="AO27" s="11"/>
      <c r="AP27" s="11"/>
      <c r="AQ27" s="11"/>
      <c r="AR27" s="11"/>
    </row>
    <row r="28" spans="1:44" s="4" customFormat="1">
      <c r="A28" s="84"/>
      <c r="B28" s="85"/>
      <c r="C28" s="71"/>
      <c r="D28" s="72"/>
      <c r="E28" s="72">
        <f t="shared" ref="E28" si="14">SUM(G28:X28)</f>
        <v>30</v>
      </c>
      <c r="F28" s="73"/>
      <c r="G28" s="71">
        <v>2</v>
      </c>
      <c r="H28" s="71">
        <v>2</v>
      </c>
      <c r="I28" s="71">
        <v>2</v>
      </c>
      <c r="J28" s="71">
        <v>2</v>
      </c>
      <c r="K28" s="71">
        <v>2</v>
      </c>
      <c r="L28" s="71">
        <v>2</v>
      </c>
      <c r="M28" s="71">
        <v>2</v>
      </c>
      <c r="N28" s="71">
        <v>2</v>
      </c>
      <c r="O28" s="71">
        <v>2</v>
      </c>
      <c r="P28" s="71">
        <v>2</v>
      </c>
      <c r="Q28" s="71">
        <v>2</v>
      </c>
      <c r="R28" s="71">
        <v>2</v>
      </c>
      <c r="S28" s="71">
        <v>2</v>
      </c>
      <c r="T28" s="71">
        <v>2</v>
      </c>
      <c r="U28" s="71">
        <v>2</v>
      </c>
      <c r="V28" s="72"/>
      <c r="W28" s="72"/>
      <c r="X28" s="73"/>
      <c r="Y28" s="71"/>
      <c r="Z28" s="72"/>
      <c r="AA28" s="72"/>
      <c r="AB28" s="72"/>
      <c r="AC28" s="72"/>
      <c r="AD28" s="72"/>
      <c r="AE28" s="76"/>
      <c r="AM28" s="12"/>
      <c r="AN28" s="95"/>
      <c r="AO28" s="144"/>
      <c r="AP28" s="144"/>
      <c r="AQ28" s="11"/>
      <c r="AR28" s="11"/>
    </row>
    <row r="29" spans="1:44" s="4" customFormat="1" ht="19.5" thickBot="1">
      <c r="A29" s="88"/>
      <c r="B29" s="100"/>
      <c r="C29" s="101"/>
      <c r="D29" s="102"/>
      <c r="E29" s="102"/>
      <c r="F29" s="103">
        <f>SUM(G29:X29)</f>
        <v>6</v>
      </c>
      <c r="G29" s="101"/>
      <c r="H29" s="102"/>
      <c r="I29" s="102"/>
      <c r="J29" s="101"/>
      <c r="K29" s="101"/>
      <c r="L29" s="102"/>
      <c r="M29" s="102"/>
      <c r="N29" s="102"/>
      <c r="O29" s="102"/>
      <c r="P29" s="102"/>
      <c r="Q29" s="104"/>
      <c r="R29" s="104"/>
      <c r="S29" s="105"/>
      <c r="T29" s="105"/>
      <c r="U29" s="105"/>
      <c r="V29" s="105">
        <v>2</v>
      </c>
      <c r="W29" s="105">
        <v>2</v>
      </c>
      <c r="X29" s="99">
        <v>2</v>
      </c>
      <c r="Y29" s="104"/>
      <c r="Z29" s="105"/>
      <c r="AA29" s="105"/>
      <c r="AB29" s="105"/>
      <c r="AC29" s="105"/>
      <c r="AD29" s="105"/>
      <c r="AE29" s="103">
        <v>36</v>
      </c>
      <c r="AM29" s="12"/>
      <c r="AN29" s="95"/>
      <c r="AO29" s="144"/>
      <c r="AP29" s="144"/>
      <c r="AQ29" s="11"/>
      <c r="AR29" s="11"/>
    </row>
    <row r="30" spans="1:44" s="4" customFormat="1" ht="39.75" customHeight="1" thickBot="1">
      <c r="A30" s="155" t="s">
        <v>19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M30" s="12"/>
      <c r="AN30" s="95"/>
      <c r="AO30" s="144"/>
      <c r="AP30" s="144"/>
      <c r="AQ30" s="11"/>
      <c r="AR30" s="11"/>
    </row>
    <row r="31" spans="1:44" s="4" customFormat="1" ht="27.75" customHeight="1" thickBot="1">
      <c r="A31" s="145" t="s">
        <v>70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6"/>
      <c r="L31" s="146"/>
      <c r="M31" s="146"/>
      <c r="N31" s="146"/>
      <c r="O31" s="146"/>
      <c r="P31" s="146"/>
      <c r="Q31" s="145"/>
      <c r="R31" s="145"/>
      <c r="S31" s="146"/>
      <c r="T31" s="146"/>
      <c r="U31" s="145"/>
      <c r="V31" s="145"/>
      <c r="W31" s="145"/>
      <c r="X31" s="145"/>
      <c r="Y31" s="145"/>
      <c r="Z31" s="145"/>
      <c r="AA31" s="145"/>
      <c r="AB31" s="145"/>
      <c r="AC31" s="145"/>
      <c r="AD31" s="146"/>
      <c r="AE31" s="145"/>
    </row>
    <row r="32" spans="1:44" s="4" customFormat="1" ht="19.5">
      <c r="A32" s="82">
        <v>23</v>
      </c>
      <c r="B32" s="83" t="s">
        <v>36</v>
      </c>
      <c r="C32" s="64">
        <f t="shared" ref="C32" si="15">SUM(D32:F34)</f>
        <v>70</v>
      </c>
      <c r="D32" s="65">
        <f>SUM(U32:AC32)</f>
        <v>42</v>
      </c>
      <c r="E32" s="65"/>
      <c r="F32" s="66"/>
      <c r="G32" s="64"/>
      <c r="H32" s="65"/>
      <c r="I32" s="65"/>
      <c r="J32" s="64"/>
      <c r="K32" s="64"/>
      <c r="L32" s="65"/>
      <c r="M32" s="65"/>
      <c r="N32" s="65"/>
      <c r="O32" s="65"/>
      <c r="P32" s="65"/>
      <c r="Q32" s="64"/>
      <c r="R32" s="120"/>
      <c r="S32" s="147"/>
      <c r="T32" s="149"/>
      <c r="U32" s="64">
        <v>6</v>
      </c>
      <c r="V32" s="64">
        <v>4</v>
      </c>
      <c r="W32" s="64">
        <v>6</v>
      </c>
      <c r="X32" s="64">
        <v>4</v>
      </c>
      <c r="Y32" s="64">
        <v>6</v>
      </c>
      <c r="Z32" s="64">
        <v>4</v>
      </c>
      <c r="AA32" s="64">
        <v>4</v>
      </c>
      <c r="AB32" s="64">
        <v>4</v>
      </c>
      <c r="AC32" s="120">
        <v>4</v>
      </c>
      <c r="AD32" s="128"/>
      <c r="AE32" s="121" t="s">
        <v>18</v>
      </c>
      <c r="AM32" s="11"/>
      <c r="AN32" s="11"/>
      <c r="AO32" s="11"/>
      <c r="AP32" s="11"/>
      <c r="AQ32" s="11"/>
      <c r="AR32" s="11"/>
    </row>
    <row r="33" spans="1:44" s="4" customFormat="1">
      <c r="A33" s="84"/>
      <c r="B33" s="85"/>
      <c r="C33" s="71"/>
      <c r="D33" s="72"/>
      <c r="E33" s="72">
        <f>SUM(U33:AC33)</f>
        <v>28</v>
      </c>
      <c r="F33" s="73"/>
      <c r="G33" s="71"/>
      <c r="H33" s="72"/>
      <c r="I33" s="72"/>
      <c r="J33" s="71"/>
      <c r="K33" s="74"/>
      <c r="L33" s="72"/>
      <c r="M33" s="72"/>
      <c r="N33" s="72"/>
      <c r="O33" s="72"/>
      <c r="P33" s="72"/>
      <c r="Q33" s="71"/>
      <c r="R33" s="122"/>
      <c r="S33" s="150"/>
      <c r="T33" s="151"/>
      <c r="U33" s="71">
        <v>2</v>
      </c>
      <c r="V33" s="72">
        <v>4</v>
      </c>
      <c r="W33" s="72">
        <v>2</v>
      </c>
      <c r="X33" s="72">
        <v>4</v>
      </c>
      <c r="Y33" s="72">
        <v>2</v>
      </c>
      <c r="Z33" s="72">
        <v>4</v>
      </c>
      <c r="AA33" s="72">
        <v>2</v>
      </c>
      <c r="AB33" s="72">
        <v>4</v>
      </c>
      <c r="AC33" s="73">
        <v>4</v>
      </c>
      <c r="AD33" s="119"/>
      <c r="AE33" s="123"/>
      <c r="AM33" s="12"/>
      <c r="AN33" s="95"/>
      <c r="AO33" s="144"/>
      <c r="AP33" s="144"/>
      <c r="AQ33" s="11"/>
      <c r="AR33" s="11"/>
    </row>
    <row r="34" spans="1:44" s="4" customFormat="1" ht="20.25" thickBot="1">
      <c r="A34" s="88"/>
      <c r="B34" s="124" t="s">
        <v>71</v>
      </c>
      <c r="C34" s="79"/>
      <c r="D34" s="80"/>
      <c r="E34" s="80"/>
      <c r="F34" s="81">
        <f>SUM(U34:AC34)</f>
        <v>0</v>
      </c>
      <c r="G34" s="79"/>
      <c r="H34" s="80"/>
      <c r="I34" s="80"/>
      <c r="J34" s="79"/>
      <c r="K34" s="86"/>
      <c r="L34" s="87"/>
      <c r="M34" s="87"/>
      <c r="N34" s="87"/>
      <c r="O34" s="87"/>
      <c r="P34" s="87"/>
      <c r="Q34" s="86"/>
      <c r="R34" s="125"/>
      <c r="S34" s="150"/>
      <c r="T34" s="151"/>
      <c r="U34" s="86"/>
      <c r="V34" s="87"/>
      <c r="W34" s="87"/>
      <c r="X34" s="87"/>
      <c r="Y34" s="87"/>
      <c r="Z34" s="87"/>
      <c r="AA34" s="87"/>
      <c r="AB34" s="87"/>
      <c r="AC34" s="91"/>
      <c r="AD34" s="119"/>
      <c r="AE34" s="126">
        <v>27</v>
      </c>
      <c r="AM34" s="12"/>
      <c r="AN34" s="95"/>
      <c r="AO34" s="144"/>
      <c r="AP34" s="144"/>
      <c r="AQ34" s="11"/>
      <c r="AR34" s="11"/>
    </row>
    <row r="35" spans="1:44" s="4" customFormat="1" ht="37.5">
      <c r="A35" s="82">
        <v>23</v>
      </c>
      <c r="B35" s="83" t="s">
        <v>45</v>
      </c>
      <c r="C35" s="64">
        <f t="shared" ref="C35" si="16">SUM(D35:F37)</f>
        <v>56</v>
      </c>
      <c r="D35" s="65">
        <f t="shared" ref="D35" si="17">SUM(U35:AC35)</f>
        <v>28</v>
      </c>
      <c r="E35" s="65"/>
      <c r="F35" s="66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127"/>
      <c r="S35" s="150"/>
      <c r="T35" s="151"/>
      <c r="U35" s="64">
        <v>4</v>
      </c>
      <c r="V35" s="65">
        <v>2</v>
      </c>
      <c r="W35" s="65">
        <v>4</v>
      </c>
      <c r="X35" s="65">
        <v>2</v>
      </c>
      <c r="Y35" s="65">
        <v>4</v>
      </c>
      <c r="Z35" s="65">
        <v>2</v>
      </c>
      <c r="AA35" s="65">
        <v>4</v>
      </c>
      <c r="AB35" s="65">
        <v>2</v>
      </c>
      <c r="AC35" s="66">
        <v>4</v>
      </c>
      <c r="AD35" s="119"/>
      <c r="AE35" s="121" t="s">
        <v>22</v>
      </c>
      <c r="AM35" s="11"/>
      <c r="AN35" s="11"/>
      <c r="AO35" s="11"/>
      <c r="AP35" s="11"/>
      <c r="AQ35" s="11"/>
      <c r="AR35" s="11"/>
    </row>
    <row r="36" spans="1:44" s="4" customFormat="1">
      <c r="A36" s="84"/>
      <c r="B36" s="85"/>
      <c r="C36" s="71"/>
      <c r="D36" s="72"/>
      <c r="E36" s="72">
        <f t="shared" ref="E36" si="18">SUM(U36:AC36)</f>
        <v>28</v>
      </c>
      <c r="F36" s="73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122"/>
      <c r="S36" s="150"/>
      <c r="T36" s="151"/>
      <c r="U36" s="71">
        <v>2</v>
      </c>
      <c r="V36" s="72">
        <v>4</v>
      </c>
      <c r="W36" s="72">
        <v>2</v>
      </c>
      <c r="X36" s="72">
        <v>4</v>
      </c>
      <c r="Y36" s="72">
        <v>2</v>
      </c>
      <c r="Z36" s="72">
        <v>4</v>
      </c>
      <c r="AA36" s="72">
        <v>2</v>
      </c>
      <c r="AB36" s="72">
        <v>4</v>
      </c>
      <c r="AC36" s="73">
        <v>4</v>
      </c>
      <c r="AD36" s="119"/>
      <c r="AE36" s="123"/>
      <c r="AM36" s="12"/>
      <c r="AN36" s="95"/>
      <c r="AO36" s="144"/>
      <c r="AP36" s="144"/>
      <c r="AQ36" s="11"/>
      <c r="AR36" s="11"/>
    </row>
    <row r="37" spans="1:44" s="4" customFormat="1" ht="20.25" thickBot="1">
      <c r="A37" s="88"/>
      <c r="B37" s="124" t="s">
        <v>71</v>
      </c>
      <c r="C37" s="79"/>
      <c r="D37" s="80"/>
      <c r="E37" s="80"/>
      <c r="F37" s="81">
        <f t="shared" ref="F37" si="19">SUM(U37:AC37)</f>
        <v>0</v>
      </c>
      <c r="G37" s="79"/>
      <c r="H37" s="80"/>
      <c r="I37" s="80"/>
      <c r="J37" s="79"/>
      <c r="K37" s="79"/>
      <c r="L37" s="80"/>
      <c r="M37" s="80"/>
      <c r="N37" s="80"/>
      <c r="O37" s="80"/>
      <c r="P37" s="80"/>
      <c r="Q37" s="86"/>
      <c r="R37" s="125"/>
      <c r="S37" s="152"/>
      <c r="T37" s="154"/>
      <c r="U37" s="86"/>
      <c r="V37" s="87"/>
      <c r="W37" s="87"/>
      <c r="X37" s="87"/>
      <c r="Y37" s="87"/>
      <c r="Z37" s="87"/>
      <c r="AA37" s="87"/>
      <c r="AB37" s="87"/>
      <c r="AC37" s="91"/>
      <c r="AD37" s="119"/>
      <c r="AE37" s="126">
        <v>9</v>
      </c>
      <c r="AM37" s="12"/>
      <c r="AN37" s="95"/>
      <c r="AO37" s="144"/>
      <c r="AP37" s="144"/>
      <c r="AQ37" s="11"/>
      <c r="AR37" s="11"/>
    </row>
    <row r="38" spans="1:44" s="4" customFormat="1" ht="19.5" thickBot="1">
      <c r="A38" s="141" t="s">
        <v>40</v>
      </c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3"/>
      <c r="AM38" s="12"/>
      <c r="AN38" s="95"/>
      <c r="AO38" s="144"/>
      <c r="AP38" s="144"/>
      <c r="AQ38" s="11"/>
      <c r="AR38" s="11"/>
    </row>
    <row r="39" spans="1:44" s="4" customFormat="1" ht="37.5">
      <c r="A39" s="82">
        <v>23</v>
      </c>
      <c r="B39" s="83" t="s">
        <v>38</v>
      </c>
      <c r="C39" s="64">
        <f t="shared" ref="C39" si="20">SUM(D39:F41)</f>
        <v>54</v>
      </c>
      <c r="D39" s="65">
        <f t="shared" ref="D39" si="21">SUM(G39:X39)</f>
        <v>18</v>
      </c>
      <c r="E39" s="65"/>
      <c r="F39" s="66"/>
      <c r="G39" s="64">
        <v>2</v>
      </c>
      <c r="H39" s="65"/>
      <c r="I39" s="65">
        <v>2</v>
      </c>
      <c r="J39" s="65"/>
      <c r="K39" s="64">
        <v>2</v>
      </c>
      <c r="L39" s="65"/>
      <c r="M39" s="65">
        <v>2</v>
      </c>
      <c r="N39" s="65"/>
      <c r="O39" s="65">
        <v>2</v>
      </c>
      <c r="P39" s="65"/>
      <c r="Q39" s="64">
        <v>2</v>
      </c>
      <c r="R39" s="64"/>
      <c r="S39" s="65">
        <v>2</v>
      </c>
      <c r="T39" s="65"/>
      <c r="U39" s="65">
        <v>2</v>
      </c>
      <c r="V39" s="65"/>
      <c r="W39" s="65">
        <v>2</v>
      </c>
      <c r="X39" s="66"/>
      <c r="Y39" s="64"/>
      <c r="Z39" s="65"/>
      <c r="AA39" s="65"/>
      <c r="AB39" s="65"/>
      <c r="AC39" s="65"/>
      <c r="AD39" s="65"/>
      <c r="AE39" s="66" t="s">
        <v>18</v>
      </c>
      <c r="AM39" s="11"/>
      <c r="AN39" s="11"/>
      <c r="AO39" s="11"/>
      <c r="AP39" s="11"/>
      <c r="AQ39" s="11"/>
      <c r="AR39" s="11"/>
    </row>
    <row r="40" spans="1:44" s="4" customFormat="1">
      <c r="A40" s="84"/>
      <c r="B40" s="85"/>
      <c r="C40" s="71"/>
      <c r="D40" s="72"/>
      <c r="E40" s="72">
        <f t="shared" ref="E40" si="22">SUM(G40:X40)</f>
        <v>36</v>
      </c>
      <c r="F40" s="73"/>
      <c r="G40" s="71"/>
      <c r="H40" s="71">
        <v>4</v>
      </c>
      <c r="I40" s="71"/>
      <c r="J40" s="71">
        <v>4</v>
      </c>
      <c r="K40" s="71"/>
      <c r="L40" s="71">
        <v>4</v>
      </c>
      <c r="M40" s="71"/>
      <c r="N40" s="71">
        <v>4</v>
      </c>
      <c r="O40" s="71"/>
      <c r="P40" s="71">
        <v>4</v>
      </c>
      <c r="Q40" s="71"/>
      <c r="R40" s="71">
        <v>4</v>
      </c>
      <c r="S40" s="71"/>
      <c r="T40" s="71">
        <v>4</v>
      </c>
      <c r="U40" s="71"/>
      <c r="V40" s="71">
        <v>4</v>
      </c>
      <c r="W40" s="71"/>
      <c r="X40" s="73">
        <v>4</v>
      </c>
      <c r="Y40" s="71"/>
      <c r="Z40" s="72"/>
      <c r="AA40" s="72"/>
      <c r="AB40" s="72"/>
      <c r="AC40" s="72"/>
      <c r="AD40" s="72"/>
      <c r="AE40" s="76" t="s">
        <v>31</v>
      </c>
      <c r="AM40" s="12"/>
      <c r="AN40" s="95"/>
      <c r="AO40" s="144"/>
      <c r="AP40" s="144"/>
      <c r="AQ40" s="11"/>
      <c r="AR40" s="11"/>
    </row>
    <row r="41" spans="1:44" s="4" customFormat="1" ht="19.5" thickBot="1">
      <c r="A41" s="88"/>
      <c r="B41" s="89"/>
      <c r="C41" s="79"/>
      <c r="D41" s="80"/>
      <c r="E41" s="80"/>
      <c r="F41" s="81">
        <f t="shared" ref="F41" si="23">SUM(G41:X41)</f>
        <v>0</v>
      </c>
      <c r="G41" s="79"/>
      <c r="H41" s="80"/>
      <c r="I41" s="80"/>
      <c r="J41" s="80"/>
      <c r="K41" s="79"/>
      <c r="L41" s="80"/>
      <c r="M41" s="80"/>
      <c r="N41" s="80"/>
      <c r="O41" s="80"/>
      <c r="P41" s="80"/>
      <c r="Q41" s="79"/>
      <c r="R41" s="79"/>
      <c r="S41" s="80"/>
      <c r="T41" s="80"/>
      <c r="U41" s="80"/>
      <c r="V41" s="80"/>
      <c r="W41" s="80"/>
      <c r="X41" s="81"/>
      <c r="Y41" s="79"/>
      <c r="Z41" s="80"/>
      <c r="AA41" s="80"/>
      <c r="AB41" s="80"/>
      <c r="AC41" s="80"/>
      <c r="AD41" s="80"/>
      <c r="AE41" s="81">
        <v>27</v>
      </c>
      <c r="AM41" s="12"/>
      <c r="AN41" s="95"/>
      <c r="AO41" s="144"/>
      <c r="AP41" s="144"/>
      <c r="AQ41" s="11"/>
      <c r="AR41" s="11"/>
    </row>
    <row r="42" spans="1:44" s="4" customFormat="1" ht="56.25">
      <c r="A42" s="82">
        <v>23</v>
      </c>
      <c r="B42" s="83" t="s">
        <v>39</v>
      </c>
      <c r="C42" s="64">
        <f t="shared" ref="C42" si="24">SUM(D42:F44)</f>
        <v>18</v>
      </c>
      <c r="D42" s="65">
        <f t="shared" ref="D42" si="25">SUM(G42:X42)</f>
        <v>0</v>
      </c>
      <c r="E42" s="65"/>
      <c r="F42" s="66"/>
      <c r="G42" s="67"/>
      <c r="H42" s="68"/>
      <c r="I42" s="68"/>
      <c r="J42" s="67"/>
      <c r="K42" s="64"/>
      <c r="L42" s="65"/>
      <c r="M42" s="65"/>
      <c r="N42" s="65"/>
      <c r="O42" s="65"/>
      <c r="P42" s="65"/>
      <c r="Q42" s="64"/>
      <c r="R42" s="64"/>
      <c r="S42" s="65"/>
      <c r="T42" s="65"/>
      <c r="U42" s="65"/>
      <c r="V42" s="65"/>
      <c r="W42" s="65"/>
      <c r="X42" s="66"/>
      <c r="Y42" s="64"/>
      <c r="Z42" s="65"/>
      <c r="AA42" s="65"/>
      <c r="AB42" s="65"/>
      <c r="AC42" s="65"/>
      <c r="AD42" s="65"/>
      <c r="AE42" s="66" t="s">
        <v>25</v>
      </c>
      <c r="AM42" s="11"/>
      <c r="AN42" s="11"/>
      <c r="AO42" s="11"/>
      <c r="AP42" s="11"/>
      <c r="AQ42" s="11"/>
      <c r="AR42" s="11"/>
    </row>
    <row r="43" spans="1:44" s="4" customFormat="1" ht="19.5">
      <c r="A43" s="84"/>
      <c r="B43" s="98" t="s">
        <v>23</v>
      </c>
      <c r="C43" s="71"/>
      <c r="D43" s="72"/>
      <c r="E43" s="72">
        <f t="shared" ref="E43" si="26">SUM(G43:X43)</f>
        <v>18</v>
      </c>
      <c r="F43" s="73"/>
      <c r="G43" s="71">
        <v>2</v>
      </c>
      <c r="H43" s="72"/>
      <c r="I43" s="72">
        <v>2</v>
      </c>
      <c r="J43" s="71"/>
      <c r="K43" s="74">
        <v>2</v>
      </c>
      <c r="L43" s="75"/>
      <c r="M43" s="75">
        <v>2</v>
      </c>
      <c r="N43" s="75"/>
      <c r="O43" s="75">
        <v>2</v>
      </c>
      <c r="P43" s="75"/>
      <c r="Q43" s="71">
        <v>2</v>
      </c>
      <c r="R43" s="71"/>
      <c r="S43" s="72">
        <v>2</v>
      </c>
      <c r="T43" s="72"/>
      <c r="U43" s="72">
        <v>2</v>
      </c>
      <c r="V43" s="72"/>
      <c r="W43" s="72">
        <v>2</v>
      </c>
      <c r="X43" s="73"/>
      <c r="Y43" s="71"/>
      <c r="Z43" s="72"/>
      <c r="AA43" s="72"/>
      <c r="AB43" s="72"/>
      <c r="AC43" s="72"/>
      <c r="AD43" s="72"/>
      <c r="AE43" s="76"/>
      <c r="AM43" s="12"/>
      <c r="AN43" s="95"/>
      <c r="AO43" s="144"/>
      <c r="AP43" s="144"/>
      <c r="AQ43" s="11"/>
      <c r="AR43" s="11"/>
    </row>
    <row r="44" spans="1:44" s="4" customFormat="1" ht="19.5" thickBot="1">
      <c r="A44" s="88"/>
      <c r="B44" s="89"/>
      <c r="C44" s="79"/>
      <c r="D44" s="80"/>
      <c r="E44" s="80"/>
      <c r="F44" s="81">
        <f t="shared" ref="F44" si="27">SUM(G44:X44)</f>
        <v>0</v>
      </c>
      <c r="G44" s="79"/>
      <c r="H44" s="80"/>
      <c r="I44" s="80"/>
      <c r="J44" s="79"/>
      <c r="K44" s="79"/>
      <c r="L44" s="80"/>
      <c r="M44" s="80"/>
      <c r="N44" s="80"/>
      <c r="O44" s="80"/>
      <c r="P44" s="80"/>
      <c r="Q44" s="86"/>
      <c r="R44" s="86"/>
      <c r="S44" s="87"/>
      <c r="T44" s="87"/>
      <c r="U44" s="87"/>
      <c r="V44" s="87"/>
      <c r="W44" s="87"/>
      <c r="X44" s="91"/>
      <c r="Y44" s="86"/>
      <c r="Z44" s="87"/>
      <c r="AA44" s="87"/>
      <c r="AB44" s="87"/>
      <c r="AC44" s="87"/>
      <c r="AD44" s="87"/>
      <c r="AE44" s="81">
        <v>9</v>
      </c>
      <c r="AM44" s="12"/>
      <c r="AN44" s="95"/>
      <c r="AO44" s="144"/>
      <c r="AP44" s="144"/>
      <c r="AQ44" s="11"/>
      <c r="AR44" s="11"/>
    </row>
    <row r="45" spans="1:44" s="4" customFormat="1" ht="19.5" thickBot="1">
      <c r="A45" s="141" t="s">
        <v>44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3"/>
      <c r="AM45" s="12"/>
      <c r="AN45" s="95"/>
      <c r="AO45" s="144"/>
      <c r="AP45" s="144"/>
      <c r="AQ45" s="11"/>
      <c r="AR45" s="11"/>
    </row>
    <row r="46" spans="1:44" s="4" customFormat="1" ht="37.5">
      <c r="A46" s="82">
        <v>23</v>
      </c>
      <c r="B46" s="83" t="s">
        <v>41</v>
      </c>
      <c r="C46" s="64">
        <f>SUM(D46:F48)</f>
        <v>54</v>
      </c>
      <c r="D46" s="65">
        <f>SUM(G46:X46)</f>
        <v>18</v>
      </c>
      <c r="E46" s="65"/>
      <c r="F46" s="66"/>
      <c r="G46" s="106">
        <v>2</v>
      </c>
      <c r="H46" s="107"/>
      <c r="I46" s="107">
        <v>2</v>
      </c>
      <c r="J46" s="107"/>
      <c r="K46" s="106">
        <v>2</v>
      </c>
      <c r="L46" s="107"/>
      <c r="M46" s="107">
        <v>2</v>
      </c>
      <c r="N46" s="107"/>
      <c r="O46" s="107">
        <v>2</v>
      </c>
      <c r="P46" s="107"/>
      <c r="Q46" s="106">
        <v>2</v>
      </c>
      <c r="R46" s="106"/>
      <c r="S46" s="107">
        <v>2</v>
      </c>
      <c r="T46" s="107"/>
      <c r="U46" s="107">
        <v>2</v>
      </c>
      <c r="V46" s="107"/>
      <c r="W46" s="107">
        <v>2</v>
      </c>
      <c r="X46" s="108"/>
      <c r="Y46" s="64"/>
      <c r="Z46" s="65"/>
      <c r="AA46" s="65"/>
      <c r="AB46" s="65"/>
      <c r="AC46" s="65"/>
      <c r="AD46" s="65"/>
      <c r="AE46" s="66" t="s">
        <v>18</v>
      </c>
      <c r="AM46" s="11"/>
      <c r="AN46" s="11"/>
      <c r="AO46" s="11"/>
      <c r="AP46" s="11"/>
      <c r="AQ46" s="11"/>
      <c r="AR46" s="11"/>
    </row>
    <row r="47" spans="1:44" s="4" customFormat="1">
      <c r="A47" s="84"/>
      <c r="B47" s="85"/>
      <c r="C47" s="71"/>
      <c r="D47" s="72"/>
      <c r="E47" s="72">
        <f>SUM(G47:X47)</f>
        <v>32</v>
      </c>
      <c r="F47" s="73"/>
      <c r="G47" s="109"/>
      <c r="H47" s="109">
        <v>4</v>
      </c>
      <c r="I47" s="109"/>
      <c r="J47" s="109">
        <v>4</v>
      </c>
      <c r="K47" s="109"/>
      <c r="L47" s="109">
        <v>4</v>
      </c>
      <c r="M47" s="109"/>
      <c r="N47" s="109">
        <v>4</v>
      </c>
      <c r="O47" s="109"/>
      <c r="P47" s="109">
        <v>4</v>
      </c>
      <c r="Q47" s="109"/>
      <c r="R47" s="109">
        <v>4</v>
      </c>
      <c r="S47" s="109"/>
      <c r="T47" s="109">
        <v>4</v>
      </c>
      <c r="U47" s="109"/>
      <c r="V47" s="109">
        <v>4</v>
      </c>
      <c r="W47" s="109"/>
      <c r="X47" s="110"/>
      <c r="Y47" s="71"/>
      <c r="Z47" s="72"/>
      <c r="AA47" s="72"/>
      <c r="AB47" s="72"/>
      <c r="AC47" s="72"/>
      <c r="AD47" s="72"/>
      <c r="AE47" s="76" t="s">
        <v>31</v>
      </c>
      <c r="AF47" s="186"/>
      <c r="AG47" s="187"/>
      <c r="AH47" s="187"/>
      <c r="AI47" s="187"/>
      <c r="AJ47" s="187"/>
      <c r="AK47" s="187"/>
      <c r="AM47" s="12"/>
      <c r="AN47" s="95"/>
      <c r="AO47" s="144"/>
      <c r="AP47" s="144"/>
      <c r="AQ47" s="11"/>
      <c r="AR47" s="11"/>
    </row>
    <row r="48" spans="1:44" s="4" customFormat="1" ht="19.5" thickBot="1">
      <c r="A48" s="88"/>
      <c r="B48" s="89"/>
      <c r="C48" s="79"/>
      <c r="D48" s="80"/>
      <c r="E48" s="80"/>
      <c r="F48" s="81">
        <f>SUM(G48:X48)</f>
        <v>4</v>
      </c>
      <c r="G48" s="111"/>
      <c r="H48" s="112"/>
      <c r="I48" s="112"/>
      <c r="J48" s="112"/>
      <c r="K48" s="111"/>
      <c r="L48" s="112"/>
      <c r="M48" s="112"/>
      <c r="N48" s="112"/>
      <c r="O48" s="112"/>
      <c r="P48" s="112"/>
      <c r="Q48" s="111"/>
      <c r="R48" s="111"/>
      <c r="S48" s="112"/>
      <c r="T48" s="112"/>
      <c r="U48" s="112"/>
      <c r="V48" s="112"/>
      <c r="W48" s="112"/>
      <c r="X48" s="113">
        <v>4</v>
      </c>
      <c r="Y48" s="79"/>
      <c r="Z48" s="80"/>
      <c r="AA48" s="80"/>
      <c r="AB48" s="80"/>
      <c r="AC48" s="80"/>
      <c r="AD48" s="80"/>
      <c r="AE48" s="81">
        <v>36</v>
      </c>
      <c r="AM48" s="12"/>
      <c r="AN48" s="95"/>
      <c r="AO48" s="144"/>
      <c r="AP48" s="144"/>
      <c r="AQ48" s="11"/>
      <c r="AR48" s="11"/>
    </row>
    <row r="49" spans="1:44" s="4" customFormat="1" ht="56.25">
      <c r="A49" s="82">
        <v>23</v>
      </c>
      <c r="B49" s="83" t="s">
        <v>42</v>
      </c>
      <c r="C49" s="64">
        <f t="shared" ref="C49" si="28">SUM(D49:F51)</f>
        <v>126</v>
      </c>
      <c r="D49" s="65">
        <f t="shared" ref="D49" si="29">SUM(G49:X49)</f>
        <v>54</v>
      </c>
      <c r="E49" s="65"/>
      <c r="F49" s="66"/>
      <c r="G49" s="114">
        <v>4</v>
      </c>
      <c r="H49" s="115">
        <v>2</v>
      </c>
      <c r="I49" s="115">
        <v>4</v>
      </c>
      <c r="J49" s="114">
        <v>2</v>
      </c>
      <c r="K49" s="106">
        <v>4</v>
      </c>
      <c r="L49" s="107">
        <v>2</v>
      </c>
      <c r="M49" s="107">
        <v>4</v>
      </c>
      <c r="N49" s="107">
        <v>2</v>
      </c>
      <c r="O49" s="107">
        <v>4</v>
      </c>
      <c r="P49" s="107">
        <v>2</v>
      </c>
      <c r="Q49" s="106">
        <v>4</v>
      </c>
      <c r="R49" s="106">
        <v>2</v>
      </c>
      <c r="S49" s="107">
        <v>4</v>
      </c>
      <c r="T49" s="107">
        <v>2</v>
      </c>
      <c r="U49" s="107">
        <v>4</v>
      </c>
      <c r="V49" s="107">
        <v>2</v>
      </c>
      <c r="W49" s="107">
        <v>4</v>
      </c>
      <c r="X49" s="108">
        <v>2</v>
      </c>
      <c r="Y49" s="64"/>
      <c r="Z49" s="65"/>
      <c r="AA49" s="65"/>
      <c r="AB49" s="65"/>
      <c r="AC49" s="65"/>
      <c r="AD49" s="65"/>
      <c r="AE49" s="66" t="s">
        <v>18</v>
      </c>
      <c r="AF49" s="186"/>
      <c r="AG49" s="187"/>
      <c r="AH49" s="187"/>
      <c r="AI49" s="187"/>
      <c r="AJ49" s="187"/>
      <c r="AK49" s="187"/>
      <c r="AM49" s="11"/>
      <c r="AN49" s="11"/>
      <c r="AO49" s="11"/>
      <c r="AP49" s="11"/>
      <c r="AQ49" s="11"/>
      <c r="AR49" s="11"/>
    </row>
    <row r="50" spans="1:44" s="4" customFormat="1">
      <c r="A50" s="84"/>
      <c r="B50" s="85"/>
      <c r="C50" s="71"/>
      <c r="D50" s="72"/>
      <c r="E50" s="72">
        <f t="shared" ref="E50" si="30">SUM(G50:X50)</f>
        <v>68</v>
      </c>
      <c r="F50" s="73"/>
      <c r="G50" s="109">
        <v>4</v>
      </c>
      <c r="H50" s="109">
        <v>4</v>
      </c>
      <c r="I50" s="109">
        <v>4</v>
      </c>
      <c r="J50" s="109">
        <v>4</v>
      </c>
      <c r="K50" s="109">
        <v>4</v>
      </c>
      <c r="L50" s="109">
        <v>4</v>
      </c>
      <c r="M50" s="109">
        <v>4</v>
      </c>
      <c r="N50" s="109">
        <v>4</v>
      </c>
      <c r="O50" s="109">
        <v>4</v>
      </c>
      <c r="P50" s="109">
        <v>4</v>
      </c>
      <c r="Q50" s="109">
        <v>4</v>
      </c>
      <c r="R50" s="109">
        <v>4</v>
      </c>
      <c r="S50" s="109">
        <v>4</v>
      </c>
      <c r="T50" s="109">
        <v>4</v>
      </c>
      <c r="U50" s="109">
        <v>4</v>
      </c>
      <c r="V50" s="109">
        <v>4</v>
      </c>
      <c r="W50" s="109">
        <v>4</v>
      </c>
      <c r="X50" s="116"/>
      <c r="Y50" s="90"/>
      <c r="Z50" s="72"/>
      <c r="AA50" s="72"/>
      <c r="AB50" s="72"/>
      <c r="AC50" s="72"/>
      <c r="AD50" s="72"/>
      <c r="AE50" s="76" t="s">
        <v>31</v>
      </c>
      <c r="AM50" s="12"/>
      <c r="AN50" s="95"/>
      <c r="AO50" s="144"/>
      <c r="AP50" s="144"/>
      <c r="AQ50" s="11"/>
      <c r="AR50" s="11"/>
    </row>
    <row r="51" spans="1:44" s="4" customFormat="1" ht="19.5" thickBot="1">
      <c r="A51" s="88"/>
      <c r="B51" s="89"/>
      <c r="C51" s="79"/>
      <c r="D51" s="80"/>
      <c r="E51" s="80"/>
      <c r="F51" s="81">
        <f t="shared" ref="F51" si="31">SUM(G51:X51)</f>
        <v>4</v>
      </c>
      <c r="G51" s="111"/>
      <c r="H51" s="112"/>
      <c r="I51" s="112"/>
      <c r="J51" s="111"/>
      <c r="K51" s="111"/>
      <c r="L51" s="112"/>
      <c r="M51" s="112"/>
      <c r="N51" s="112"/>
      <c r="O51" s="112"/>
      <c r="P51" s="112"/>
      <c r="Q51" s="111"/>
      <c r="R51" s="111"/>
      <c r="S51" s="112"/>
      <c r="T51" s="112"/>
      <c r="U51" s="112"/>
      <c r="V51" s="112"/>
      <c r="W51" s="112"/>
      <c r="X51" s="117">
        <v>4</v>
      </c>
      <c r="Y51" s="86"/>
      <c r="Z51" s="87"/>
      <c r="AA51" s="87"/>
      <c r="AB51" s="87"/>
      <c r="AC51" s="87"/>
      <c r="AD51" s="87"/>
      <c r="AE51" s="81">
        <v>36</v>
      </c>
      <c r="AM51" s="12"/>
      <c r="AN51" s="95"/>
      <c r="AO51" s="144"/>
      <c r="AP51" s="144"/>
      <c r="AQ51" s="11"/>
      <c r="AR51" s="11"/>
    </row>
    <row r="52" spans="1:44" s="4" customFormat="1" ht="37.5">
      <c r="A52" s="82">
        <v>23</v>
      </c>
      <c r="B52" s="83" t="s">
        <v>43</v>
      </c>
      <c r="C52" s="64">
        <f t="shared" ref="C52" si="32">SUM(D52:F54)</f>
        <v>18</v>
      </c>
      <c r="D52" s="65">
        <f t="shared" ref="D52" si="33">SUM(G52:X52)</f>
        <v>8</v>
      </c>
      <c r="E52" s="65"/>
      <c r="F52" s="66"/>
      <c r="G52" s="67">
        <v>2</v>
      </c>
      <c r="H52" s="68"/>
      <c r="I52" s="68">
        <v>2</v>
      </c>
      <c r="J52" s="67"/>
      <c r="K52" s="64">
        <v>2</v>
      </c>
      <c r="L52" s="65"/>
      <c r="M52" s="65">
        <v>2</v>
      </c>
      <c r="N52" s="65"/>
      <c r="O52" s="65"/>
      <c r="P52" s="65"/>
      <c r="Q52" s="64"/>
      <c r="R52" s="64"/>
      <c r="S52" s="65"/>
      <c r="T52" s="65"/>
      <c r="U52" s="65"/>
      <c r="V52" s="65"/>
      <c r="W52" s="65"/>
      <c r="X52" s="66"/>
      <c r="Y52" s="64"/>
      <c r="Z52" s="65"/>
      <c r="AA52" s="65"/>
      <c r="AB52" s="65"/>
      <c r="AC52" s="65"/>
      <c r="AD52" s="65"/>
      <c r="AE52" s="66" t="s">
        <v>25</v>
      </c>
      <c r="AM52" s="11"/>
      <c r="AN52" s="11"/>
      <c r="AO52" s="11"/>
      <c r="AP52" s="11"/>
      <c r="AQ52" s="11"/>
      <c r="AR52" s="11"/>
    </row>
    <row r="53" spans="1:44" s="4" customFormat="1" ht="19.5">
      <c r="A53" s="84"/>
      <c r="B53" s="98" t="s">
        <v>23</v>
      </c>
      <c r="C53" s="71"/>
      <c r="D53" s="72"/>
      <c r="E53" s="72">
        <f t="shared" ref="E53" si="34">SUM(G53:X53)</f>
        <v>10</v>
      </c>
      <c r="F53" s="73"/>
      <c r="G53" s="71"/>
      <c r="H53" s="72"/>
      <c r="I53" s="72"/>
      <c r="J53" s="71"/>
      <c r="K53" s="74"/>
      <c r="L53" s="75"/>
      <c r="M53" s="75"/>
      <c r="N53" s="75"/>
      <c r="O53" s="75">
        <v>2</v>
      </c>
      <c r="P53" s="75"/>
      <c r="Q53" s="71">
        <v>2</v>
      </c>
      <c r="R53" s="71"/>
      <c r="S53" s="72">
        <v>2</v>
      </c>
      <c r="T53" s="72"/>
      <c r="U53" s="72">
        <v>2</v>
      </c>
      <c r="V53" s="72"/>
      <c r="W53" s="72">
        <v>2</v>
      </c>
      <c r="X53" s="73"/>
      <c r="Y53" s="71"/>
      <c r="Z53" s="72"/>
      <c r="AA53" s="72"/>
      <c r="AB53" s="72"/>
      <c r="AC53" s="72"/>
      <c r="AD53" s="72"/>
      <c r="AE53" s="76"/>
      <c r="AM53" s="12"/>
      <c r="AN53" s="95"/>
      <c r="AO53" s="144"/>
      <c r="AP53" s="144"/>
      <c r="AQ53" s="11"/>
      <c r="AR53" s="11"/>
    </row>
    <row r="54" spans="1:44" s="4" customFormat="1" ht="19.5" thickBot="1">
      <c r="A54" s="88"/>
      <c r="B54" s="89"/>
      <c r="C54" s="79"/>
      <c r="D54" s="80"/>
      <c r="E54" s="80"/>
      <c r="F54" s="81">
        <f t="shared" ref="F54" si="35">SUM(G54:X54)</f>
        <v>0</v>
      </c>
      <c r="G54" s="79"/>
      <c r="H54" s="80"/>
      <c r="I54" s="80"/>
      <c r="J54" s="79"/>
      <c r="K54" s="79"/>
      <c r="L54" s="80"/>
      <c r="M54" s="80"/>
      <c r="N54" s="80"/>
      <c r="O54" s="80"/>
      <c r="P54" s="80"/>
      <c r="Q54" s="86"/>
      <c r="R54" s="86"/>
      <c r="S54" s="87"/>
      <c r="T54" s="87"/>
      <c r="U54" s="87"/>
      <c r="V54" s="87"/>
      <c r="W54" s="87"/>
      <c r="X54" s="91"/>
      <c r="Y54" s="86"/>
      <c r="Z54" s="87"/>
      <c r="AA54" s="87"/>
      <c r="AB54" s="87"/>
      <c r="AC54" s="87"/>
      <c r="AD54" s="87"/>
      <c r="AE54" s="81">
        <v>9</v>
      </c>
      <c r="AM54" s="12"/>
      <c r="AN54" s="95"/>
      <c r="AO54" s="144"/>
      <c r="AP54" s="144"/>
      <c r="AQ54" s="11"/>
      <c r="AR54" s="11"/>
    </row>
    <row r="55" spans="1:44" s="4" customFormat="1" ht="19.5" thickBot="1">
      <c r="A55" s="141" t="s">
        <v>46</v>
      </c>
      <c r="B55" s="142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3"/>
      <c r="AM55" s="12"/>
      <c r="AN55" s="95"/>
      <c r="AO55" s="144"/>
      <c r="AP55" s="144"/>
      <c r="AQ55" s="11"/>
      <c r="AR55" s="11"/>
    </row>
    <row r="56" spans="1:44" s="4" customFormat="1" ht="37.5">
      <c r="A56" s="82">
        <v>23</v>
      </c>
      <c r="B56" s="83" t="s">
        <v>45</v>
      </c>
      <c r="C56" s="64">
        <f t="shared" ref="C56" si="36">SUM(D56:F58)</f>
        <v>54</v>
      </c>
      <c r="D56" s="65">
        <f t="shared" ref="D56" si="37">SUM(G56:X56)</f>
        <v>18</v>
      </c>
      <c r="E56" s="65"/>
      <c r="F56" s="66"/>
      <c r="G56" s="64">
        <v>2</v>
      </c>
      <c r="H56" s="65"/>
      <c r="I56" s="65">
        <v>2</v>
      </c>
      <c r="J56" s="65"/>
      <c r="K56" s="64">
        <v>2</v>
      </c>
      <c r="L56" s="65"/>
      <c r="M56" s="65">
        <v>2</v>
      </c>
      <c r="N56" s="65"/>
      <c r="O56" s="65">
        <v>2</v>
      </c>
      <c r="P56" s="65"/>
      <c r="Q56" s="64">
        <v>2</v>
      </c>
      <c r="R56" s="64"/>
      <c r="S56" s="65">
        <v>2</v>
      </c>
      <c r="T56" s="65"/>
      <c r="U56" s="65">
        <v>2</v>
      </c>
      <c r="V56" s="65"/>
      <c r="W56" s="65">
        <v>2</v>
      </c>
      <c r="X56" s="66"/>
      <c r="Y56" s="64"/>
      <c r="Z56" s="65"/>
      <c r="AA56" s="65"/>
      <c r="AB56" s="65"/>
      <c r="AC56" s="65"/>
      <c r="AD56" s="65"/>
      <c r="AE56" s="66" t="s">
        <v>18</v>
      </c>
      <c r="AM56" s="11"/>
      <c r="AN56" s="11"/>
      <c r="AO56" s="11"/>
      <c r="AP56" s="11"/>
      <c r="AQ56" s="11"/>
      <c r="AR56" s="11"/>
    </row>
    <row r="57" spans="1:44" s="4" customFormat="1">
      <c r="A57" s="84"/>
      <c r="B57" s="85"/>
      <c r="C57" s="71"/>
      <c r="D57" s="72"/>
      <c r="E57" s="72">
        <f t="shared" ref="E57" si="38">SUM(G57:X57)</f>
        <v>36</v>
      </c>
      <c r="F57" s="73"/>
      <c r="G57" s="71"/>
      <c r="H57" s="71">
        <v>4</v>
      </c>
      <c r="I57" s="71"/>
      <c r="J57" s="71">
        <v>4</v>
      </c>
      <c r="K57" s="71"/>
      <c r="L57" s="71">
        <v>4</v>
      </c>
      <c r="M57" s="71"/>
      <c r="N57" s="71">
        <v>4</v>
      </c>
      <c r="O57" s="71"/>
      <c r="P57" s="71">
        <v>4</v>
      </c>
      <c r="Q57" s="71"/>
      <c r="R57" s="71">
        <v>4</v>
      </c>
      <c r="S57" s="71"/>
      <c r="T57" s="71">
        <v>4</v>
      </c>
      <c r="U57" s="71"/>
      <c r="V57" s="71">
        <v>4</v>
      </c>
      <c r="W57" s="71"/>
      <c r="X57" s="73">
        <v>4</v>
      </c>
      <c r="Y57" s="71"/>
      <c r="Z57" s="72"/>
      <c r="AA57" s="72"/>
      <c r="AB57" s="72"/>
      <c r="AC57" s="72"/>
      <c r="AD57" s="72"/>
      <c r="AE57" s="76"/>
      <c r="AM57" s="12"/>
      <c r="AN57" s="95"/>
      <c r="AO57" s="144"/>
      <c r="AP57" s="144"/>
      <c r="AQ57" s="11"/>
      <c r="AR57" s="11"/>
    </row>
    <row r="58" spans="1:44" s="4" customFormat="1" ht="19.5" thickBot="1">
      <c r="A58" s="97"/>
      <c r="B58" s="89"/>
      <c r="C58" s="79"/>
      <c r="D58" s="80"/>
      <c r="E58" s="80"/>
      <c r="F58" s="81">
        <f t="shared" ref="F58" si="39">SUM(G58:X58)</f>
        <v>0</v>
      </c>
      <c r="G58" s="79"/>
      <c r="H58" s="80"/>
      <c r="I58" s="80"/>
      <c r="J58" s="80"/>
      <c r="K58" s="79"/>
      <c r="L58" s="80"/>
      <c r="M58" s="80"/>
      <c r="N58" s="80"/>
      <c r="O58" s="80"/>
      <c r="P58" s="80"/>
      <c r="Q58" s="79"/>
      <c r="R58" s="79"/>
      <c r="S58" s="80"/>
      <c r="T58" s="80"/>
      <c r="U58" s="80"/>
      <c r="V58" s="80"/>
      <c r="W58" s="80"/>
      <c r="X58" s="81"/>
      <c r="Y58" s="79"/>
      <c r="Z58" s="80"/>
      <c r="AA58" s="80"/>
      <c r="AB58" s="80"/>
      <c r="AC58" s="80"/>
      <c r="AD58" s="80"/>
      <c r="AE58" s="81">
        <v>36</v>
      </c>
      <c r="AM58" s="12"/>
      <c r="AN58" s="95"/>
      <c r="AO58" s="144"/>
      <c r="AP58" s="144"/>
      <c r="AQ58" s="11"/>
      <c r="AR58" s="11"/>
    </row>
    <row r="59" spans="1:44" s="4" customFormat="1" ht="19.5" thickBot="1">
      <c r="A59" s="155" t="s">
        <v>20</v>
      </c>
      <c r="B59" s="155"/>
      <c r="C59" s="155"/>
      <c r="D59" s="155"/>
      <c r="E59" s="155"/>
      <c r="F59" s="155"/>
      <c r="G59" s="155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155"/>
      <c r="AB59" s="155"/>
      <c r="AC59" s="155"/>
      <c r="AD59" s="155"/>
      <c r="AE59" s="155"/>
      <c r="AM59" s="12"/>
      <c r="AN59" s="95"/>
      <c r="AO59" s="144"/>
      <c r="AP59" s="144"/>
      <c r="AQ59" s="11"/>
      <c r="AR59" s="11"/>
    </row>
    <row r="60" spans="1:44" s="4" customFormat="1" ht="28.5" customHeight="1" thickBot="1">
      <c r="A60" s="145" t="s">
        <v>72</v>
      </c>
      <c r="B60" s="145"/>
      <c r="C60" s="145"/>
      <c r="D60" s="145"/>
      <c r="E60" s="145"/>
      <c r="F60" s="145"/>
      <c r="G60" s="145"/>
      <c r="H60" s="145"/>
      <c r="I60" s="145"/>
      <c r="J60" s="145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5"/>
      <c r="AA60" s="145"/>
      <c r="AB60" s="145"/>
      <c r="AC60" s="145"/>
      <c r="AD60" s="145"/>
      <c r="AE60" s="145"/>
    </row>
    <row r="61" spans="1:44" s="4" customFormat="1" ht="19.5">
      <c r="A61" s="82">
        <v>23</v>
      </c>
      <c r="B61" s="83" t="s">
        <v>36</v>
      </c>
      <c r="C61" s="64">
        <f t="shared" ref="C61" si="40">SUM(D61:F63)</f>
        <v>72</v>
      </c>
      <c r="D61" s="65">
        <f t="shared" ref="D61" si="41">SUM(G61:M61,Z61:AC61)</f>
        <v>36</v>
      </c>
      <c r="E61" s="65"/>
      <c r="F61" s="66"/>
      <c r="G61" s="67">
        <v>4</v>
      </c>
      <c r="H61" s="67">
        <v>2</v>
      </c>
      <c r="I61" s="67">
        <v>4</v>
      </c>
      <c r="J61" s="67">
        <v>2</v>
      </c>
      <c r="K61" s="67">
        <v>4</v>
      </c>
      <c r="L61" s="139">
        <v>2</v>
      </c>
      <c r="M61" s="140">
        <v>4</v>
      </c>
      <c r="N61" s="147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9"/>
      <c r="Z61" s="64">
        <v>4</v>
      </c>
      <c r="AA61" s="65">
        <v>2</v>
      </c>
      <c r="AB61" s="65">
        <v>4</v>
      </c>
      <c r="AC61" s="66">
        <v>4</v>
      </c>
      <c r="AD61" s="64"/>
      <c r="AE61" s="66" t="s">
        <v>22</v>
      </c>
      <c r="AM61" s="11"/>
      <c r="AN61" s="11"/>
      <c r="AO61" s="11"/>
      <c r="AP61" s="11"/>
      <c r="AQ61" s="11"/>
      <c r="AR61" s="11"/>
    </row>
    <row r="62" spans="1:44" s="4" customFormat="1">
      <c r="A62" s="84"/>
      <c r="B62" s="85"/>
      <c r="C62" s="71"/>
      <c r="D62" s="72"/>
      <c r="E62" s="72">
        <f t="shared" ref="E62" si="42">SUM(G62:M62,Z62:AC62)</f>
        <v>34</v>
      </c>
      <c r="F62" s="73"/>
      <c r="G62" s="104">
        <v>2</v>
      </c>
      <c r="H62" s="104">
        <v>4</v>
      </c>
      <c r="I62" s="104">
        <v>2</v>
      </c>
      <c r="J62" s="104">
        <v>4</v>
      </c>
      <c r="K62" s="104">
        <v>2</v>
      </c>
      <c r="L62" s="132">
        <v>4</v>
      </c>
      <c r="M62" s="133">
        <v>2</v>
      </c>
      <c r="N62" s="150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51"/>
      <c r="Z62" s="71">
        <v>4</v>
      </c>
      <c r="AA62" s="72">
        <v>4</v>
      </c>
      <c r="AB62" s="72">
        <v>4</v>
      </c>
      <c r="AC62" s="73">
        <v>2</v>
      </c>
      <c r="AD62" s="71"/>
      <c r="AE62" s="76"/>
      <c r="AM62" s="12"/>
      <c r="AN62" s="95"/>
      <c r="AO62" s="144"/>
      <c r="AP62" s="144"/>
      <c r="AQ62" s="11"/>
      <c r="AR62" s="11"/>
    </row>
    <row r="63" spans="1:44" s="4" customFormat="1" ht="19.5" thickBot="1">
      <c r="A63" s="88"/>
      <c r="B63" s="89"/>
      <c r="C63" s="79"/>
      <c r="D63" s="80"/>
      <c r="E63" s="80"/>
      <c r="F63" s="81">
        <f t="shared" ref="F63" si="43">SUM(G63:M63,Z63:AC63)</f>
        <v>2</v>
      </c>
      <c r="G63" s="86"/>
      <c r="H63" s="87"/>
      <c r="I63" s="86"/>
      <c r="J63" s="87"/>
      <c r="K63" s="86"/>
      <c r="L63" s="134"/>
      <c r="M63" s="135"/>
      <c r="N63" s="150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51"/>
      <c r="Z63" s="86"/>
      <c r="AA63" s="87"/>
      <c r="AB63" s="87"/>
      <c r="AC63" s="91">
        <v>2</v>
      </c>
      <c r="AD63" s="86"/>
      <c r="AE63" s="81">
        <v>9</v>
      </c>
      <c r="AM63" s="12"/>
      <c r="AN63" s="95"/>
      <c r="AO63" s="144"/>
      <c r="AP63" s="144"/>
      <c r="AQ63" s="11"/>
      <c r="AR63" s="11"/>
    </row>
    <row r="64" spans="1:44" s="4" customFormat="1" ht="37.5">
      <c r="A64" s="82">
        <v>23</v>
      </c>
      <c r="B64" s="83" t="s">
        <v>45</v>
      </c>
      <c r="C64" s="64">
        <f t="shared" ref="C64" si="44">SUM(D64:F66)</f>
        <v>72</v>
      </c>
      <c r="D64" s="65">
        <f t="shared" ref="D64" si="45">SUM(G64:M64,Z64:AC64)</f>
        <v>36</v>
      </c>
      <c r="E64" s="65"/>
      <c r="F64" s="66"/>
      <c r="G64" s="67">
        <v>2</v>
      </c>
      <c r="H64" s="67">
        <v>4</v>
      </c>
      <c r="I64" s="67">
        <v>2</v>
      </c>
      <c r="J64" s="67">
        <v>4</v>
      </c>
      <c r="K64" s="67">
        <v>2</v>
      </c>
      <c r="L64" s="130">
        <v>4</v>
      </c>
      <c r="M64" s="131">
        <v>2</v>
      </c>
      <c r="N64" s="150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51"/>
      <c r="Z64" s="64">
        <v>4</v>
      </c>
      <c r="AA64" s="65">
        <v>4</v>
      </c>
      <c r="AB64" s="65">
        <v>4</v>
      </c>
      <c r="AC64" s="66">
        <v>4</v>
      </c>
      <c r="AD64" s="64"/>
      <c r="AE64" s="66" t="s">
        <v>22</v>
      </c>
      <c r="AM64" s="11"/>
      <c r="AN64" s="11"/>
      <c r="AO64" s="11"/>
      <c r="AP64" s="11"/>
      <c r="AQ64" s="11"/>
      <c r="AR64" s="11"/>
    </row>
    <row r="65" spans="1:44" s="4" customFormat="1">
      <c r="A65" s="84"/>
      <c r="B65" s="85"/>
      <c r="C65" s="71"/>
      <c r="D65" s="72"/>
      <c r="E65" s="72">
        <f t="shared" ref="E65" si="46">SUM(G65:M65,Z65:AC65)</f>
        <v>34</v>
      </c>
      <c r="F65" s="73"/>
      <c r="G65" s="104">
        <v>2</v>
      </c>
      <c r="H65" s="104">
        <v>4</v>
      </c>
      <c r="I65" s="104">
        <v>2</v>
      </c>
      <c r="J65" s="104">
        <v>4</v>
      </c>
      <c r="K65" s="104">
        <v>2</v>
      </c>
      <c r="L65" s="136">
        <v>4</v>
      </c>
      <c r="M65" s="137">
        <v>2</v>
      </c>
      <c r="N65" s="150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51"/>
      <c r="Z65" s="71">
        <v>4</v>
      </c>
      <c r="AA65" s="72">
        <v>4</v>
      </c>
      <c r="AB65" s="72">
        <v>4</v>
      </c>
      <c r="AC65" s="73">
        <v>2</v>
      </c>
      <c r="AD65" s="71"/>
      <c r="AE65" s="76"/>
      <c r="AM65" s="12"/>
      <c r="AN65" s="95"/>
      <c r="AO65" s="144"/>
      <c r="AP65" s="144"/>
      <c r="AQ65" s="11"/>
      <c r="AR65" s="11"/>
    </row>
    <row r="66" spans="1:44" s="4" customFormat="1" ht="19.5" thickBot="1">
      <c r="A66" s="88"/>
      <c r="B66" s="89"/>
      <c r="C66" s="79"/>
      <c r="D66" s="75"/>
      <c r="E66" s="75"/>
      <c r="F66" s="138">
        <f t="shared" ref="F66" si="47">SUM(G66:M66,Z66:AC66)</f>
        <v>2</v>
      </c>
      <c r="G66" s="71"/>
      <c r="H66" s="87"/>
      <c r="I66" s="86"/>
      <c r="J66" s="87"/>
      <c r="K66" s="86"/>
      <c r="L66" s="134"/>
      <c r="M66" s="135"/>
      <c r="N66" s="152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4"/>
      <c r="Z66" s="86"/>
      <c r="AA66" s="87"/>
      <c r="AB66" s="87"/>
      <c r="AC66" s="91">
        <v>2</v>
      </c>
      <c r="AD66" s="86"/>
      <c r="AE66" s="81">
        <v>9</v>
      </c>
      <c r="AM66" s="12"/>
      <c r="AN66" s="95"/>
      <c r="AO66" s="144"/>
      <c r="AP66" s="144"/>
      <c r="AQ66" s="11"/>
      <c r="AR66" s="11"/>
    </row>
    <row r="67" spans="1:44" s="4" customFormat="1" ht="19.5" thickBot="1">
      <c r="A67" s="145" t="s">
        <v>73</v>
      </c>
      <c r="B67" s="145"/>
      <c r="C67" s="145"/>
      <c r="D67" s="145"/>
      <c r="E67" s="145"/>
      <c r="F67" s="145"/>
      <c r="G67" s="145"/>
      <c r="H67" s="145"/>
      <c r="I67" s="145"/>
      <c r="J67" s="145"/>
      <c r="K67" s="146"/>
      <c r="L67" s="146"/>
      <c r="M67" s="146"/>
      <c r="N67" s="146"/>
      <c r="O67" s="146"/>
      <c r="P67" s="146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M67" s="12"/>
      <c r="AN67" s="95"/>
      <c r="AO67" s="129"/>
      <c r="AP67" s="129"/>
      <c r="AQ67" s="11"/>
      <c r="AR67" s="11"/>
    </row>
    <row r="68" spans="1:44" ht="37.5">
      <c r="A68" s="82">
        <v>23</v>
      </c>
      <c r="B68" s="83" t="s">
        <v>36</v>
      </c>
      <c r="C68" s="64">
        <f t="shared" ref="C68" si="48">SUM(D68:F70)</f>
        <v>72</v>
      </c>
      <c r="D68" s="65">
        <f t="shared" ref="D68" si="49">SUM(G68:X68)</f>
        <v>36</v>
      </c>
      <c r="E68" s="65"/>
      <c r="F68" s="66"/>
      <c r="G68" s="67">
        <v>2</v>
      </c>
      <c r="H68" s="67">
        <v>2</v>
      </c>
      <c r="I68" s="67">
        <v>2</v>
      </c>
      <c r="J68" s="67">
        <v>2</v>
      </c>
      <c r="K68" s="67">
        <v>2</v>
      </c>
      <c r="L68" s="67">
        <v>2</v>
      </c>
      <c r="M68" s="67">
        <v>2</v>
      </c>
      <c r="N68" s="67">
        <v>2</v>
      </c>
      <c r="O68" s="67">
        <v>2</v>
      </c>
      <c r="P68" s="67">
        <v>2</v>
      </c>
      <c r="Q68" s="67">
        <v>2</v>
      </c>
      <c r="R68" s="67">
        <v>2</v>
      </c>
      <c r="S68" s="67">
        <v>2</v>
      </c>
      <c r="T68" s="67">
        <v>2</v>
      </c>
      <c r="U68" s="67">
        <v>2</v>
      </c>
      <c r="V68" s="67">
        <v>2</v>
      </c>
      <c r="W68" s="67">
        <v>2</v>
      </c>
      <c r="X68" s="67">
        <v>2</v>
      </c>
      <c r="Y68" s="65"/>
      <c r="Z68" s="65"/>
      <c r="AA68" s="65"/>
      <c r="AB68" s="65"/>
      <c r="AC68" s="65"/>
      <c r="AD68" s="65"/>
      <c r="AE68" s="66" t="s">
        <v>22</v>
      </c>
    </row>
    <row r="69" spans="1:44">
      <c r="A69" s="84"/>
      <c r="B69" s="85"/>
      <c r="C69" s="71"/>
      <c r="D69" s="72"/>
      <c r="E69" s="72">
        <f t="shared" ref="E69" si="50">SUM(G69:X69)</f>
        <v>36</v>
      </c>
      <c r="F69" s="73"/>
      <c r="G69" s="104">
        <v>2</v>
      </c>
      <c r="H69" s="104">
        <v>2</v>
      </c>
      <c r="I69" s="104">
        <v>2</v>
      </c>
      <c r="J69" s="104">
        <v>2</v>
      </c>
      <c r="K69" s="104">
        <v>2</v>
      </c>
      <c r="L69" s="104">
        <v>2</v>
      </c>
      <c r="M69" s="104">
        <v>2</v>
      </c>
      <c r="N69" s="104">
        <v>2</v>
      </c>
      <c r="O69" s="104">
        <v>2</v>
      </c>
      <c r="P69" s="104">
        <v>2</v>
      </c>
      <c r="Q69" s="104">
        <v>2</v>
      </c>
      <c r="R69" s="104">
        <v>2</v>
      </c>
      <c r="S69" s="104">
        <v>2</v>
      </c>
      <c r="T69" s="104">
        <v>2</v>
      </c>
      <c r="U69" s="104">
        <v>2</v>
      </c>
      <c r="V69" s="104">
        <v>2</v>
      </c>
      <c r="W69" s="104">
        <v>2</v>
      </c>
      <c r="X69" s="104">
        <v>2</v>
      </c>
      <c r="Y69" s="72"/>
      <c r="Z69" s="72"/>
      <c r="AA69" s="72"/>
      <c r="AB69" s="72"/>
      <c r="AC69" s="72"/>
      <c r="AD69" s="72"/>
      <c r="AE69" s="76"/>
    </row>
    <row r="70" spans="1:44" ht="19.5" thickBot="1">
      <c r="A70" s="88"/>
      <c r="B70" s="89"/>
      <c r="C70" s="79"/>
      <c r="D70" s="80"/>
      <c r="E70" s="80"/>
      <c r="F70" s="81">
        <f t="shared" ref="F70" si="51">SUM(G70:X70)</f>
        <v>0</v>
      </c>
      <c r="G70" s="86"/>
      <c r="H70" s="87"/>
      <c r="I70" s="86"/>
      <c r="J70" s="79"/>
      <c r="K70" s="86"/>
      <c r="L70" s="87"/>
      <c r="M70" s="87"/>
      <c r="N70" s="87"/>
      <c r="O70" s="87"/>
      <c r="P70" s="87"/>
      <c r="Q70" s="86"/>
      <c r="R70" s="86"/>
      <c r="S70" s="87"/>
      <c r="T70" s="87"/>
      <c r="U70" s="87"/>
      <c r="V70" s="87"/>
      <c r="W70" s="87"/>
      <c r="X70" s="87"/>
      <c r="Y70" s="87"/>
      <c r="Z70" s="87"/>
      <c r="AA70" s="87"/>
      <c r="AB70" s="87"/>
      <c r="AC70" s="87"/>
      <c r="AD70" s="87"/>
      <c r="AE70" s="81">
        <v>18</v>
      </c>
    </row>
    <row r="71" spans="1:44" ht="19.5" thickBot="1">
      <c r="A71" s="141" t="s">
        <v>21</v>
      </c>
      <c r="B71" s="142"/>
      <c r="C71" s="142"/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3"/>
    </row>
    <row r="72" spans="1:44" s="4" customFormat="1" ht="75">
      <c r="A72" s="82">
        <v>23</v>
      </c>
      <c r="B72" s="83" t="s">
        <v>47</v>
      </c>
      <c r="C72" s="64">
        <f>SUM(D72:F74)</f>
        <v>72</v>
      </c>
      <c r="D72" s="65">
        <f>SUM(G72:X72)</f>
        <v>36</v>
      </c>
      <c r="E72" s="65"/>
      <c r="F72" s="66"/>
      <c r="G72" s="64">
        <v>2</v>
      </c>
      <c r="H72" s="64">
        <v>2</v>
      </c>
      <c r="I72" s="64">
        <v>2</v>
      </c>
      <c r="J72" s="64">
        <v>2</v>
      </c>
      <c r="K72" s="64">
        <v>2</v>
      </c>
      <c r="L72" s="64">
        <v>2</v>
      </c>
      <c r="M72" s="64">
        <v>2</v>
      </c>
      <c r="N72" s="64">
        <v>2</v>
      </c>
      <c r="O72" s="64">
        <v>2</v>
      </c>
      <c r="P72" s="64">
        <v>2</v>
      </c>
      <c r="Q72" s="64">
        <v>2</v>
      </c>
      <c r="R72" s="64">
        <v>2</v>
      </c>
      <c r="S72" s="64">
        <v>2</v>
      </c>
      <c r="T72" s="64">
        <v>2</v>
      </c>
      <c r="U72" s="64">
        <v>2</v>
      </c>
      <c r="V72" s="64">
        <v>2</v>
      </c>
      <c r="W72" s="64">
        <v>2</v>
      </c>
      <c r="X72" s="66">
        <v>2</v>
      </c>
      <c r="Y72" s="64"/>
      <c r="Z72" s="65"/>
      <c r="AA72" s="65"/>
      <c r="AB72" s="65"/>
      <c r="AC72" s="65"/>
      <c r="AD72" s="65"/>
      <c r="AE72" s="66" t="s">
        <v>18</v>
      </c>
      <c r="AM72" s="11"/>
      <c r="AN72" s="11"/>
      <c r="AO72" s="11"/>
      <c r="AP72" s="11"/>
      <c r="AQ72" s="11"/>
      <c r="AR72" s="11"/>
    </row>
    <row r="73" spans="1:44" s="4" customFormat="1">
      <c r="A73" s="84"/>
      <c r="B73" s="85"/>
      <c r="C73" s="71"/>
      <c r="D73" s="72"/>
      <c r="E73" s="72">
        <f>SUM(G73:X73)</f>
        <v>36</v>
      </c>
      <c r="F73" s="73"/>
      <c r="G73" s="71">
        <v>2</v>
      </c>
      <c r="H73" s="71">
        <v>2</v>
      </c>
      <c r="I73" s="71">
        <v>2</v>
      </c>
      <c r="J73" s="71">
        <v>2</v>
      </c>
      <c r="K73" s="71">
        <v>2</v>
      </c>
      <c r="L73" s="71">
        <v>2</v>
      </c>
      <c r="M73" s="71">
        <v>2</v>
      </c>
      <c r="N73" s="71">
        <v>2</v>
      </c>
      <c r="O73" s="71">
        <v>2</v>
      </c>
      <c r="P73" s="71">
        <v>2</v>
      </c>
      <c r="Q73" s="71">
        <v>2</v>
      </c>
      <c r="R73" s="71">
        <v>2</v>
      </c>
      <c r="S73" s="71">
        <v>2</v>
      </c>
      <c r="T73" s="71">
        <v>2</v>
      </c>
      <c r="U73" s="71">
        <v>2</v>
      </c>
      <c r="V73" s="71">
        <v>2</v>
      </c>
      <c r="W73" s="71">
        <v>2</v>
      </c>
      <c r="X73" s="73">
        <v>2</v>
      </c>
      <c r="Y73" s="71"/>
      <c r="Z73" s="72"/>
      <c r="AA73" s="72"/>
      <c r="AB73" s="72"/>
      <c r="AC73" s="72"/>
      <c r="AD73" s="72"/>
      <c r="AE73" s="76" t="s">
        <v>31</v>
      </c>
      <c r="AM73" s="12"/>
      <c r="AN73" s="95"/>
      <c r="AO73" s="144"/>
      <c r="AP73" s="144"/>
      <c r="AQ73" s="11"/>
      <c r="AR73" s="11"/>
    </row>
    <row r="74" spans="1:44" s="4" customFormat="1" ht="19.5" thickBot="1">
      <c r="A74" s="88"/>
      <c r="B74" s="89"/>
      <c r="C74" s="79"/>
      <c r="D74" s="80"/>
      <c r="E74" s="80"/>
      <c r="F74" s="81">
        <f>SUM(G74:X74)</f>
        <v>0</v>
      </c>
      <c r="G74" s="79"/>
      <c r="H74" s="80"/>
      <c r="I74" s="80"/>
      <c r="J74" s="80"/>
      <c r="K74" s="79"/>
      <c r="L74" s="80"/>
      <c r="M74" s="80"/>
      <c r="N74" s="80"/>
      <c r="O74" s="80"/>
      <c r="P74" s="80"/>
      <c r="Q74" s="79"/>
      <c r="R74" s="79"/>
      <c r="S74" s="80"/>
      <c r="T74" s="80"/>
      <c r="U74" s="80"/>
      <c r="V74" s="80"/>
      <c r="W74" s="80"/>
      <c r="X74" s="81"/>
      <c r="Y74" s="79"/>
      <c r="Z74" s="80"/>
      <c r="AA74" s="80"/>
      <c r="AB74" s="80"/>
      <c r="AC74" s="80"/>
      <c r="AD74" s="80"/>
      <c r="AE74" s="81">
        <v>36</v>
      </c>
      <c r="AM74" s="12"/>
      <c r="AN74" s="95"/>
      <c r="AO74" s="144"/>
      <c r="AP74" s="144"/>
      <c r="AQ74" s="11"/>
      <c r="AR74" s="11"/>
    </row>
    <row r="75" spans="1:44" s="4" customFormat="1" ht="56.25">
      <c r="A75" s="82">
        <v>23</v>
      </c>
      <c r="B75" s="83" t="s">
        <v>48</v>
      </c>
      <c r="C75" s="64">
        <f t="shared" ref="C75" si="52">SUM(D75:F77)</f>
        <v>72</v>
      </c>
      <c r="D75" s="65">
        <f t="shared" ref="D75" si="53">SUM(G75:X75)</f>
        <v>36</v>
      </c>
      <c r="E75" s="65"/>
      <c r="F75" s="66"/>
      <c r="G75" s="64">
        <v>2</v>
      </c>
      <c r="H75" s="64">
        <v>2</v>
      </c>
      <c r="I75" s="64">
        <v>2</v>
      </c>
      <c r="J75" s="64">
        <v>2</v>
      </c>
      <c r="K75" s="64">
        <v>2</v>
      </c>
      <c r="L75" s="64">
        <v>2</v>
      </c>
      <c r="M75" s="64">
        <v>2</v>
      </c>
      <c r="N75" s="64">
        <v>2</v>
      </c>
      <c r="O75" s="64">
        <v>2</v>
      </c>
      <c r="P75" s="64">
        <v>2</v>
      </c>
      <c r="Q75" s="64">
        <v>2</v>
      </c>
      <c r="R75" s="64">
        <v>2</v>
      </c>
      <c r="S75" s="64">
        <v>2</v>
      </c>
      <c r="T75" s="64">
        <v>2</v>
      </c>
      <c r="U75" s="64">
        <v>2</v>
      </c>
      <c r="V75" s="64">
        <v>2</v>
      </c>
      <c r="W75" s="64">
        <v>2</v>
      </c>
      <c r="X75" s="66">
        <v>2</v>
      </c>
      <c r="Y75" s="64"/>
      <c r="Z75" s="65"/>
      <c r="AA75" s="65"/>
      <c r="AB75" s="65"/>
      <c r="AC75" s="65"/>
      <c r="AD75" s="65"/>
      <c r="AE75" s="66" t="s">
        <v>18</v>
      </c>
      <c r="AM75" s="11"/>
      <c r="AN75" s="11"/>
      <c r="AO75" s="11"/>
      <c r="AP75" s="11"/>
      <c r="AQ75" s="11"/>
      <c r="AR75" s="11"/>
    </row>
    <row r="76" spans="1:44" s="4" customFormat="1">
      <c r="A76" s="84"/>
      <c r="B76" s="85"/>
      <c r="C76" s="71"/>
      <c r="D76" s="72"/>
      <c r="E76" s="72">
        <f t="shared" ref="E76" si="54">SUM(G76:X76)</f>
        <v>36</v>
      </c>
      <c r="F76" s="73"/>
      <c r="G76" s="71"/>
      <c r="H76" s="71">
        <v>4</v>
      </c>
      <c r="I76" s="71"/>
      <c r="J76" s="71">
        <v>4</v>
      </c>
      <c r="K76" s="71"/>
      <c r="L76" s="71">
        <v>4</v>
      </c>
      <c r="M76" s="71"/>
      <c r="N76" s="71">
        <v>4</v>
      </c>
      <c r="O76" s="71"/>
      <c r="P76" s="71">
        <v>4</v>
      </c>
      <c r="Q76" s="71"/>
      <c r="R76" s="71">
        <v>4</v>
      </c>
      <c r="S76" s="71"/>
      <c r="T76" s="71">
        <v>4</v>
      </c>
      <c r="U76" s="71"/>
      <c r="V76" s="71">
        <v>4</v>
      </c>
      <c r="W76" s="71"/>
      <c r="X76" s="73">
        <v>4</v>
      </c>
      <c r="Y76" s="90"/>
      <c r="Z76" s="72"/>
      <c r="AA76" s="72"/>
      <c r="AB76" s="72"/>
      <c r="AC76" s="72"/>
      <c r="AD76" s="72"/>
      <c r="AE76" s="76" t="s">
        <v>31</v>
      </c>
      <c r="AM76" s="12"/>
      <c r="AN76" s="95"/>
      <c r="AO76" s="144"/>
      <c r="AP76" s="144"/>
      <c r="AQ76" s="11"/>
      <c r="AR76" s="11"/>
    </row>
    <row r="77" spans="1:44" s="4" customFormat="1" ht="19.5" thickBot="1">
      <c r="A77" s="88"/>
      <c r="B77" s="89"/>
      <c r="C77" s="79"/>
      <c r="D77" s="80"/>
      <c r="E77" s="80"/>
      <c r="F77" s="81">
        <f t="shared" ref="F77" si="55">SUM(G77:X77)</f>
        <v>0</v>
      </c>
      <c r="G77" s="79"/>
      <c r="H77" s="80"/>
      <c r="I77" s="80"/>
      <c r="J77" s="80"/>
      <c r="K77" s="79"/>
      <c r="L77" s="80"/>
      <c r="M77" s="80"/>
      <c r="N77" s="80"/>
      <c r="O77" s="80"/>
      <c r="P77" s="80"/>
      <c r="Q77" s="79"/>
      <c r="R77" s="79"/>
      <c r="S77" s="80"/>
      <c r="T77" s="80"/>
      <c r="U77" s="80"/>
      <c r="V77" s="80"/>
      <c r="W77" s="80"/>
      <c r="X77" s="81"/>
      <c r="Y77" s="86"/>
      <c r="Z77" s="87"/>
      <c r="AA77" s="87"/>
      <c r="AB77" s="87"/>
      <c r="AC77" s="87"/>
      <c r="AD77" s="87"/>
      <c r="AE77" s="81">
        <v>36</v>
      </c>
      <c r="AM77" s="12"/>
      <c r="AN77" s="95"/>
      <c r="AO77" s="144"/>
      <c r="AP77" s="144"/>
      <c r="AQ77" s="11"/>
      <c r="AR77" s="11"/>
    </row>
    <row r="78" spans="1:44" s="4" customFormat="1" ht="56.25">
      <c r="A78" s="82">
        <v>23</v>
      </c>
      <c r="B78" s="83" t="s">
        <v>39</v>
      </c>
      <c r="C78" s="64">
        <f t="shared" ref="C78" si="56">SUM(D78:F80)</f>
        <v>18</v>
      </c>
      <c r="D78" s="65">
        <f t="shared" ref="D78" si="57">SUM(G78:X78)</f>
        <v>0</v>
      </c>
      <c r="E78" s="65"/>
      <c r="F78" s="66"/>
      <c r="G78" s="67"/>
      <c r="H78" s="68"/>
      <c r="I78" s="68"/>
      <c r="J78" s="67"/>
      <c r="K78" s="64"/>
      <c r="L78" s="65"/>
      <c r="M78" s="65"/>
      <c r="N78" s="65"/>
      <c r="O78" s="65"/>
      <c r="P78" s="65"/>
      <c r="Q78" s="64"/>
      <c r="R78" s="64"/>
      <c r="S78" s="65"/>
      <c r="T78" s="65"/>
      <c r="U78" s="65"/>
      <c r="V78" s="65"/>
      <c r="W78" s="65"/>
      <c r="X78" s="66"/>
      <c r="Y78" s="64"/>
      <c r="Z78" s="65"/>
      <c r="AA78" s="65"/>
      <c r="AB78" s="65"/>
      <c r="AC78" s="65"/>
      <c r="AD78" s="65"/>
      <c r="AE78" s="66" t="s">
        <v>25</v>
      </c>
      <c r="AM78" s="11"/>
      <c r="AN78" s="11"/>
      <c r="AO78" s="11"/>
      <c r="AP78" s="11"/>
      <c r="AQ78" s="11"/>
      <c r="AR78" s="11"/>
    </row>
    <row r="79" spans="1:44" s="4" customFormat="1" ht="19.5">
      <c r="A79" s="84"/>
      <c r="B79" s="98" t="s">
        <v>23</v>
      </c>
      <c r="C79" s="71"/>
      <c r="D79" s="72"/>
      <c r="E79" s="72">
        <f t="shared" ref="E79" si="58">SUM(G79:X79)</f>
        <v>18</v>
      </c>
      <c r="F79" s="73"/>
      <c r="G79" s="71">
        <v>2</v>
      </c>
      <c r="H79" s="72"/>
      <c r="I79" s="72">
        <v>2</v>
      </c>
      <c r="J79" s="71"/>
      <c r="K79" s="74">
        <v>2</v>
      </c>
      <c r="L79" s="75"/>
      <c r="M79" s="75">
        <v>2</v>
      </c>
      <c r="N79" s="75"/>
      <c r="O79" s="75">
        <v>2</v>
      </c>
      <c r="P79" s="75"/>
      <c r="Q79" s="71">
        <v>2</v>
      </c>
      <c r="R79" s="71"/>
      <c r="S79" s="72">
        <v>2</v>
      </c>
      <c r="T79" s="72"/>
      <c r="U79" s="72">
        <v>2</v>
      </c>
      <c r="V79" s="72"/>
      <c r="W79" s="72">
        <v>2</v>
      </c>
      <c r="X79" s="73"/>
      <c r="Y79" s="71"/>
      <c r="Z79" s="72"/>
      <c r="AA79" s="72"/>
      <c r="AB79" s="72"/>
      <c r="AC79" s="72"/>
      <c r="AD79" s="72"/>
      <c r="AE79" s="76"/>
      <c r="AM79" s="12"/>
      <c r="AN79" s="95"/>
      <c r="AO79" s="144"/>
      <c r="AP79" s="144"/>
      <c r="AQ79" s="11"/>
      <c r="AR79" s="11"/>
    </row>
    <row r="80" spans="1:44" s="4" customFormat="1" ht="19.5" thickBot="1">
      <c r="A80" s="88"/>
      <c r="B80" s="89"/>
      <c r="C80" s="79"/>
      <c r="D80" s="80"/>
      <c r="E80" s="80"/>
      <c r="F80" s="81">
        <f t="shared" ref="F80" si="59">SUM(G80:X80)</f>
        <v>0</v>
      </c>
      <c r="G80" s="79"/>
      <c r="H80" s="80"/>
      <c r="I80" s="80"/>
      <c r="J80" s="79"/>
      <c r="K80" s="79"/>
      <c r="L80" s="80"/>
      <c r="M80" s="80"/>
      <c r="N80" s="80"/>
      <c r="O80" s="80"/>
      <c r="P80" s="80"/>
      <c r="Q80" s="86"/>
      <c r="R80" s="86"/>
      <c r="S80" s="87"/>
      <c r="T80" s="87"/>
      <c r="U80" s="87"/>
      <c r="V80" s="87"/>
      <c r="W80" s="87"/>
      <c r="X80" s="91"/>
      <c r="Y80" s="86"/>
      <c r="Z80" s="87"/>
      <c r="AA80" s="87"/>
      <c r="AB80" s="87"/>
      <c r="AC80" s="87"/>
      <c r="AD80" s="87"/>
      <c r="AE80" s="81">
        <v>9</v>
      </c>
      <c r="AM80" s="12"/>
      <c r="AN80" s="95"/>
      <c r="AO80" s="144"/>
      <c r="AP80" s="144"/>
      <c r="AQ80" s="11"/>
      <c r="AR80" s="11"/>
    </row>
    <row r="81" spans="1:44" s="4" customFormat="1" ht="56.25">
      <c r="A81" s="82">
        <v>23</v>
      </c>
      <c r="B81" s="83" t="s">
        <v>49</v>
      </c>
      <c r="C81" s="64">
        <f t="shared" ref="C81" si="60">SUM(D81:F83)</f>
        <v>54</v>
      </c>
      <c r="D81" s="65">
        <f t="shared" ref="D81" si="61">SUM(G81:X81)</f>
        <v>0</v>
      </c>
      <c r="E81" s="65"/>
      <c r="F81" s="66"/>
      <c r="G81" s="67"/>
      <c r="H81" s="68"/>
      <c r="I81" s="68"/>
      <c r="J81" s="67"/>
      <c r="K81" s="64"/>
      <c r="L81" s="65"/>
      <c r="M81" s="65"/>
      <c r="N81" s="65"/>
      <c r="O81" s="65"/>
      <c r="P81" s="65"/>
      <c r="Q81" s="64"/>
      <c r="R81" s="64"/>
      <c r="S81" s="65"/>
      <c r="T81" s="65"/>
      <c r="U81" s="65"/>
      <c r="V81" s="65"/>
      <c r="W81" s="65"/>
      <c r="X81" s="66"/>
      <c r="Y81" s="64"/>
      <c r="Z81" s="65"/>
      <c r="AA81" s="65"/>
      <c r="AB81" s="65"/>
      <c r="AC81" s="65"/>
      <c r="AD81" s="65"/>
      <c r="AE81" s="66" t="s">
        <v>25</v>
      </c>
      <c r="AM81" s="11"/>
      <c r="AN81" s="11"/>
      <c r="AO81" s="11"/>
      <c r="AP81" s="11"/>
      <c r="AQ81" s="11"/>
      <c r="AR81" s="11"/>
    </row>
    <row r="82" spans="1:44" s="4" customFormat="1" ht="19.5">
      <c r="A82" s="84"/>
      <c r="B82" s="98" t="s">
        <v>23</v>
      </c>
      <c r="C82" s="71"/>
      <c r="D82" s="72"/>
      <c r="E82" s="72">
        <f t="shared" ref="E82" si="62">SUM(G82:X82)</f>
        <v>54</v>
      </c>
      <c r="F82" s="73"/>
      <c r="G82" s="71">
        <v>4</v>
      </c>
      <c r="H82" s="72">
        <v>2</v>
      </c>
      <c r="I82" s="72">
        <v>4</v>
      </c>
      <c r="J82" s="71">
        <v>2</v>
      </c>
      <c r="K82" s="74">
        <v>4</v>
      </c>
      <c r="L82" s="75">
        <v>2</v>
      </c>
      <c r="M82" s="75">
        <v>4</v>
      </c>
      <c r="N82" s="75">
        <v>2</v>
      </c>
      <c r="O82" s="75">
        <v>4</v>
      </c>
      <c r="P82" s="75">
        <v>2</v>
      </c>
      <c r="Q82" s="71">
        <v>4</v>
      </c>
      <c r="R82" s="71">
        <v>2</v>
      </c>
      <c r="S82" s="72">
        <v>4</v>
      </c>
      <c r="T82" s="72">
        <v>2</v>
      </c>
      <c r="U82" s="72">
        <v>4</v>
      </c>
      <c r="V82" s="72">
        <v>2</v>
      </c>
      <c r="W82" s="72">
        <v>4</v>
      </c>
      <c r="X82" s="73">
        <v>2</v>
      </c>
      <c r="Y82" s="71"/>
      <c r="Z82" s="72"/>
      <c r="AA82" s="72"/>
      <c r="AB82" s="72"/>
      <c r="AC82" s="72"/>
      <c r="AD82" s="72"/>
      <c r="AE82" s="76"/>
      <c r="AM82" s="12"/>
      <c r="AN82" s="95"/>
      <c r="AO82" s="144"/>
      <c r="AP82" s="144"/>
      <c r="AQ82" s="11"/>
      <c r="AR82" s="11"/>
    </row>
    <row r="83" spans="1:44" s="4" customFormat="1" ht="19.5" thickBot="1">
      <c r="A83" s="88"/>
      <c r="B83" s="89"/>
      <c r="C83" s="79"/>
      <c r="D83" s="80"/>
      <c r="E83" s="80"/>
      <c r="F83" s="81">
        <f t="shared" ref="F83" si="63">SUM(G83:X83)</f>
        <v>0</v>
      </c>
      <c r="G83" s="79"/>
      <c r="H83" s="80"/>
      <c r="I83" s="80"/>
      <c r="J83" s="79"/>
      <c r="K83" s="79"/>
      <c r="L83" s="80"/>
      <c r="M83" s="80"/>
      <c r="N83" s="80"/>
      <c r="O83" s="80"/>
      <c r="P83" s="80"/>
      <c r="Q83" s="86"/>
      <c r="R83" s="86"/>
      <c r="S83" s="87"/>
      <c r="T83" s="87"/>
      <c r="U83" s="87"/>
      <c r="V83" s="87"/>
      <c r="W83" s="87"/>
      <c r="X83" s="91"/>
      <c r="Y83" s="86"/>
      <c r="Z83" s="87"/>
      <c r="AA83" s="87"/>
      <c r="AB83" s="87"/>
      <c r="AC83" s="87"/>
      <c r="AD83" s="87"/>
      <c r="AE83" s="81">
        <v>9</v>
      </c>
      <c r="AM83" s="12"/>
      <c r="AN83" s="95"/>
      <c r="AO83" s="144"/>
      <c r="AP83" s="144"/>
      <c r="AQ83" s="11"/>
      <c r="AR83" s="11"/>
    </row>
    <row r="84" spans="1:44" ht="19.5" thickBot="1">
      <c r="A84" s="141" t="s">
        <v>54</v>
      </c>
      <c r="B84" s="142"/>
      <c r="C84" s="142"/>
      <c r="D84" s="142"/>
      <c r="E84" s="142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3"/>
    </row>
    <row r="85" spans="1:44" s="4" customFormat="1" ht="37.5">
      <c r="A85" s="82">
        <v>23</v>
      </c>
      <c r="B85" s="83" t="s">
        <v>50</v>
      </c>
      <c r="C85" s="64">
        <f>SUM(D85:F87)</f>
        <v>70</v>
      </c>
      <c r="D85" s="65">
        <f>SUM(G85:X85)</f>
        <v>28</v>
      </c>
      <c r="E85" s="65"/>
      <c r="F85" s="66"/>
      <c r="G85" s="67">
        <v>2</v>
      </c>
      <c r="H85" s="67">
        <v>2</v>
      </c>
      <c r="I85" s="67">
        <v>2</v>
      </c>
      <c r="J85" s="67">
        <v>2</v>
      </c>
      <c r="K85" s="67">
        <v>2</v>
      </c>
      <c r="L85" s="67">
        <v>2</v>
      </c>
      <c r="M85" s="67">
        <v>2</v>
      </c>
      <c r="N85" s="67">
        <v>2</v>
      </c>
      <c r="O85" s="67">
        <v>2</v>
      </c>
      <c r="P85" s="67">
        <v>2</v>
      </c>
      <c r="Q85" s="67">
        <v>2</v>
      </c>
      <c r="R85" s="67">
        <v>2</v>
      </c>
      <c r="S85" s="67">
        <v>2</v>
      </c>
      <c r="T85" s="66">
        <v>2</v>
      </c>
      <c r="U85" s="64"/>
      <c r="V85" s="65"/>
      <c r="W85" s="65"/>
      <c r="X85" s="65"/>
      <c r="Y85" s="64"/>
      <c r="Z85" s="65"/>
      <c r="AA85" s="65"/>
      <c r="AB85" s="65"/>
      <c r="AC85" s="65"/>
      <c r="AD85" s="65"/>
      <c r="AE85" s="66" t="s">
        <v>22</v>
      </c>
      <c r="AM85" s="11"/>
      <c r="AN85" s="11"/>
      <c r="AO85" s="11"/>
      <c r="AP85" s="11"/>
      <c r="AQ85" s="11"/>
      <c r="AR85" s="11"/>
    </row>
    <row r="86" spans="1:44" s="4" customFormat="1">
      <c r="A86" s="84"/>
      <c r="B86" s="85"/>
      <c r="C86" s="71"/>
      <c r="D86" s="72"/>
      <c r="E86" s="72">
        <f>SUM(G86:X86)</f>
        <v>42</v>
      </c>
      <c r="F86" s="73"/>
      <c r="G86" s="71">
        <v>2</v>
      </c>
      <c r="H86" s="71">
        <v>4</v>
      </c>
      <c r="I86" s="71">
        <v>2</v>
      </c>
      <c r="J86" s="71">
        <v>4</v>
      </c>
      <c r="K86" s="71">
        <v>2</v>
      </c>
      <c r="L86" s="71">
        <v>4</v>
      </c>
      <c r="M86" s="71">
        <v>2</v>
      </c>
      <c r="N86" s="71">
        <v>4</v>
      </c>
      <c r="O86" s="71">
        <v>2</v>
      </c>
      <c r="P86" s="71">
        <v>4</v>
      </c>
      <c r="Q86" s="71">
        <v>2</v>
      </c>
      <c r="R86" s="71">
        <v>4</v>
      </c>
      <c r="S86" s="71">
        <v>2</v>
      </c>
      <c r="T86" s="73">
        <v>4</v>
      </c>
      <c r="U86" s="71"/>
      <c r="V86" s="71"/>
      <c r="W86" s="71"/>
      <c r="X86" s="72"/>
      <c r="Y86" s="71"/>
      <c r="Z86" s="72"/>
      <c r="AA86" s="72"/>
      <c r="AB86" s="72"/>
      <c r="AC86" s="72"/>
      <c r="AD86" s="72"/>
      <c r="AE86" s="76"/>
      <c r="AM86" s="12"/>
      <c r="AN86" s="95"/>
      <c r="AO86" s="144"/>
      <c r="AP86" s="144"/>
      <c r="AQ86" s="11"/>
      <c r="AR86" s="11"/>
    </row>
    <row r="87" spans="1:44" s="4" customFormat="1" ht="19.5" thickBot="1">
      <c r="A87" s="88"/>
      <c r="B87" s="89"/>
      <c r="C87" s="79"/>
      <c r="D87" s="80"/>
      <c r="E87" s="80"/>
      <c r="F87" s="81">
        <f>SUM(G87:X87)</f>
        <v>0</v>
      </c>
      <c r="G87" s="79"/>
      <c r="H87" s="80"/>
      <c r="I87" s="80"/>
      <c r="J87" s="79"/>
      <c r="K87" s="79"/>
      <c r="L87" s="80"/>
      <c r="M87" s="80"/>
      <c r="N87" s="80"/>
      <c r="O87" s="80"/>
      <c r="P87" s="80"/>
      <c r="Q87" s="79"/>
      <c r="R87" s="79"/>
      <c r="S87" s="80"/>
      <c r="T87" s="81"/>
      <c r="U87" s="79"/>
      <c r="V87" s="80"/>
      <c r="W87" s="80"/>
      <c r="X87" s="87"/>
      <c r="Y87" s="86"/>
      <c r="Z87" s="87"/>
      <c r="AA87" s="87"/>
      <c r="AB87" s="87"/>
      <c r="AC87" s="87"/>
      <c r="AD87" s="87"/>
      <c r="AE87" s="81">
        <v>18</v>
      </c>
      <c r="AM87" s="12"/>
      <c r="AN87" s="95"/>
      <c r="AO87" s="144"/>
      <c r="AP87" s="144"/>
      <c r="AQ87" s="11"/>
      <c r="AR87" s="11"/>
    </row>
    <row r="88" spans="1:44" s="4" customFormat="1" ht="112.5">
      <c r="A88" s="82">
        <v>23</v>
      </c>
      <c r="B88" s="83" t="s">
        <v>51</v>
      </c>
      <c r="C88" s="64">
        <f>SUM(D88:F90)</f>
        <v>70</v>
      </c>
      <c r="D88" s="65">
        <f>SUM(G88:X88)</f>
        <v>28</v>
      </c>
      <c r="E88" s="65"/>
      <c r="F88" s="66"/>
      <c r="G88" s="67">
        <v>2</v>
      </c>
      <c r="H88" s="67">
        <v>2</v>
      </c>
      <c r="I88" s="67">
        <v>2</v>
      </c>
      <c r="J88" s="67">
        <v>2</v>
      </c>
      <c r="K88" s="67">
        <v>2</v>
      </c>
      <c r="L88" s="67">
        <v>2</v>
      </c>
      <c r="M88" s="67">
        <v>2</v>
      </c>
      <c r="N88" s="67">
        <v>2</v>
      </c>
      <c r="O88" s="67">
        <v>2</v>
      </c>
      <c r="P88" s="67">
        <v>2</v>
      </c>
      <c r="Q88" s="67">
        <v>2</v>
      </c>
      <c r="R88" s="67">
        <v>2</v>
      </c>
      <c r="S88" s="67">
        <v>2</v>
      </c>
      <c r="T88" s="66">
        <v>2</v>
      </c>
      <c r="U88" s="64"/>
      <c r="V88" s="65"/>
      <c r="W88" s="65"/>
      <c r="X88" s="65"/>
      <c r="Y88" s="64"/>
      <c r="Z88" s="65"/>
      <c r="AA88" s="65"/>
      <c r="AB88" s="65"/>
      <c r="AC88" s="65"/>
      <c r="AD88" s="65"/>
      <c r="AE88" s="66" t="s">
        <v>18</v>
      </c>
      <c r="AM88" s="11"/>
      <c r="AN88" s="11"/>
      <c r="AO88" s="11"/>
      <c r="AP88" s="11"/>
      <c r="AQ88" s="11"/>
      <c r="AR88" s="11"/>
    </row>
    <row r="89" spans="1:44" s="4" customFormat="1">
      <c r="A89" s="84"/>
      <c r="B89" s="85"/>
      <c r="C89" s="71"/>
      <c r="D89" s="72"/>
      <c r="E89" s="72">
        <f>SUM(G89:X89)</f>
        <v>42</v>
      </c>
      <c r="F89" s="73"/>
      <c r="G89" s="71">
        <v>2</v>
      </c>
      <c r="H89" s="71">
        <v>4</v>
      </c>
      <c r="I89" s="71">
        <v>2</v>
      </c>
      <c r="J89" s="71">
        <v>4</v>
      </c>
      <c r="K89" s="71">
        <v>2</v>
      </c>
      <c r="L89" s="71">
        <v>4</v>
      </c>
      <c r="M89" s="71">
        <v>2</v>
      </c>
      <c r="N89" s="71">
        <v>4</v>
      </c>
      <c r="O89" s="71">
        <v>2</v>
      </c>
      <c r="P89" s="71">
        <v>4</v>
      </c>
      <c r="Q89" s="71">
        <v>2</v>
      </c>
      <c r="R89" s="71">
        <v>4</v>
      </c>
      <c r="S89" s="71">
        <v>2</v>
      </c>
      <c r="T89" s="73">
        <v>4</v>
      </c>
      <c r="U89" s="71"/>
      <c r="V89" s="71"/>
      <c r="W89" s="71"/>
      <c r="X89" s="72"/>
      <c r="Y89" s="71"/>
      <c r="Z89" s="72"/>
      <c r="AA89" s="72"/>
      <c r="AB89" s="72"/>
      <c r="AC89" s="72"/>
      <c r="AD89" s="72"/>
      <c r="AE89" s="76"/>
      <c r="AM89" s="12"/>
      <c r="AN89" s="95"/>
      <c r="AO89" s="144"/>
      <c r="AP89" s="144"/>
      <c r="AQ89" s="11"/>
      <c r="AR89" s="11"/>
    </row>
    <row r="90" spans="1:44" s="4" customFormat="1" ht="19.5" thickBot="1">
      <c r="A90" s="88"/>
      <c r="B90" s="89"/>
      <c r="C90" s="79"/>
      <c r="D90" s="80"/>
      <c r="E90" s="80"/>
      <c r="F90" s="81">
        <f>SUM(G90:X90)</f>
        <v>0</v>
      </c>
      <c r="G90" s="79"/>
      <c r="H90" s="80"/>
      <c r="I90" s="80"/>
      <c r="J90" s="79"/>
      <c r="K90" s="79"/>
      <c r="L90" s="80"/>
      <c r="M90" s="80"/>
      <c r="N90" s="80"/>
      <c r="O90" s="80"/>
      <c r="P90" s="80"/>
      <c r="Q90" s="79"/>
      <c r="R90" s="79"/>
      <c r="S90" s="80"/>
      <c r="T90" s="81"/>
      <c r="U90" s="79"/>
      <c r="V90" s="80"/>
      <c r="W90" s="80"/>
      <c r="X90" s="87"/>
      <c r="Y90" s="86"/>
      <c r="Z90" s="87"/>
      <c r="AA90" s="87"/>
      <c r="AB90" s="87"/>
      <c r="AC90" s="87"/>
      <c r="AD90" s="87"/>
      <c r="AE90" s="81">
        <v>36</v>
      </c>
      <c r="AM90" s="12"/>
      <c r="AN90" s="95"/>
      <c r="AO90" s="144"/>
      <c r="AP90" s="144"/>
      <c r="AQ90" s="11"/>
      <c r="AR90" s="11"/>
    </row>
    <row r="91" spans="1:44" s="4" customFormat="1" ht="37.5">
      <c r="A91" s="82">
        <v>23</v>
      </c>
      <c r="B91" s="83" t="s">
        <v>52</v>
      </c>
      <c r="C91" s="64">
        <f t="shared" ref="C91" si="64">SUM(D91:F93)</f>
        <v>84</v>
      </c>
      <c r="D91" s="65">
        <f t="shared" ref="D91" si="65">SUM(G91:X91)</f>
        <v>42</v>
      </c>
      <c r="E91" s="65"/>
      <c r="F91" s="66"/>
      <c r="G91" s="67">
        <v>4</v>
      </c>
      <c r="H91" s="68">
        <v>2</v>
      </c>
      <c r="I91" s="68">
        <v>4</v>
      </c>
      <c r="J91" s="67">
        <v>2</v>
      </c>
      <c r="K91" s="64">
        <v>4</v>
      </c>
      <c r="L91" s="65">
        <v>2</v>
      </c>
      <c r="M91" s="65">
        <v>4</v>
      </c>
      <c r="N91" s="65">
        <v>2</v>
      </c>
      <c r="O91" s="65">
        <v>4</v>
      </c>
      <c r="P91" s="65">
        <v>2</v>
      </c>
      <c r="Q91" s="64">
        <v>4</v>
      </c>
      <c r="R91" s="64">
        <v>2</v>
      </c>
      <c r="S91" s="65">
        <v>4</v>
      </c>
      <c r="T91" s="66">
        <v>2</v>
      </c>
      <c r="U91" s="64"/>
      <c r="V91" s="65"/>
      <c r="W91" s="65"/>
      <c r="X91" s="65"/>
      <c r="Y91" s="64"/>
      <c r="Z91" s="65"/>
      <c r="AA91" s="65"/>
      <c r="AB91" s="65"/>
      <c r="AC91" s="65"/>
      <c r="AD91" s="65"/>
      <c r="AE91" s="66" t="s">
        <v>18</v>
      </c>
      <c r="AM91" s="11"/>
      <c r="AN91" s="11"/>
      <c r="AO91" s="11"/>
      <c r="AP91" s="11"/>
      <c r="AQ91" s="11"/>
      <c r="AR91" s="11"/>
    </row>
    <row r="92" spans="1:44" s="4" customFormat="1">
      <c r="A92" s="84"/>
      <c r="B92" s="85"/>
      <c r="C92" s="71"/>
      <c r="D92" s="72"/>
      <c r="E92" s="72">
        <f t="shared" ref="E92" si="66">SUM(G92:X92)</f>
        <v>42</v>
      </c>
      <c r="F92" s="73"/>
      <c r="G92" s="71">
        <v>2</v>
      </c>
      <c r="H92" s="71">
        <v>4</v>
      </c>
      <c r="I92" s="71">
        <v>2</v>
      </c>
      <c r="J92" s="71">
        <v>4</v>
      </c>
      <c r="K92" s="71">
        <v>2</v>
      </c>
      <c r="L92" s="71">
        <v>4</v>
      </c>
      <c r="M92" s="71">
        <v>2</v>
      </c>
      <c r="N92" s="71">
        <v>4</v>
      </c>
      <c r="O92" s="71">
        <v>2</v>
      </c>
      <c r="P92" s="71">
        <v>4</v>
      </c>
      <c r="Q92" s="71">
        <v>2</v>
      </c>
      <c r="R92" s="71">
        <v>4</v>
      </c>
      <c r="S92" s="71">
        <v>2</v>
      </c>
      <c r="T92" s="73">
        <v>4</v>
      </c>
      <c r="U92" s="71"/>
      <c r="V92" s="71"/>
      <c r="W92" s="71"/>
      <c r="X92" s="72"/>
      <c r="Y92" s="71"/>
      <c r="Z92" s="72"/>
      <c r="AA92" s="72"/>
      <c r="AB92" s="72"/>
      <c r="AC92" s="72"/>
      <c r="AD92" s="72"/>
      <c r="AE92" s="76" t="s">
        <v>31</v>
      </c>
      <c r="AM92" s="12"/>
      <c r="AN92" s="95"/>
      <c r="AO92" s="144"/>
      <c r="AP92" s="144"/>
      <c r="AQ92" s="11"/>
      <c r="AR92" s="11"/>
    </row>
    <row r="93" spans="1:44" s="4" customFormat="1" ht="19.5" thickBot="1">
      <c r="A93" s="88"/>
      <c r="B93" s="89"/>
      <c r="C93" s="79"/>
      <c r="D93" s="80"/>
      <c r="E93" s="80"/>
      <c r="F93" s="81">
        <f t="shared" ref="F93" si="67">SUM(G93:X93)</f>
        <v>0</v>
      </c>
      <c r="G93" s="79"/>
      <c r="H93" s="80"/>
      <c r="I93" s="80"/>
      <c r="J93" s="79"/>
      <c r="K93" s="79"/>
      <c r="L93" s="80"/>
      <c r="M93" s="80"/>
      <c r="N93" s="80"/>
      <c r="O93" s="80"/>
      <c r="P93" s="80"/>
      <c r="Q93" s="79"/>
      <c r="R93" s="79"/>
      <c r="S93" s="80"/>
      <c r="T93" s="81"/>
      <c r="U93" s="79"/>
      <c r="V93" s="80"/>
      <c r="W93" s="80"/>
      <c r="X93" s="87"/>
      <c r="Y93" s="86"/>
      <c r="Z93" s="87"/>
      <c r="AA93" s="87"/>
      <c r="AB93" s="87"/>
      <c r="AC93" s="87"/>
      <c r="AD93" s="87"/>
      <c r="AE93" s="81">
        <v>36</v>
      </c>
      <c r="AM93" s="12"/>
      <c r="AN93" s="95"/>
      <c r="AO93" s="144"/>
      <c r="AP93" s="144"/>
      <c r="AQ93" s="11"/>
      <c r="AR93" s="11"/>
    </row>
    <row r="94" spans="1:44" s="4" customFormat="1" ht="56.25">
      <c r="A94" s="82">
        <v>23</v>
      </c>
      <c r="B94" s="83" t="s">
        <v>53</v>
      </c>
      <c r="C94" s="64">
        <f t="shared" ref="C94" si="68">SUM(D94:F96)</f>
        <v>56</v>
      </c>
      <c r="D94" s="65">
        <f t="shared" ref="D94" si="69">SUM(G94:X94)</f>
        <v>28</v>
      </c>
      <c r="E94" s="65"/>
      <c r="F94" s="66"/>
      <c r="G94" s="67">
        <v>2</v>
      </c>
      <c r="H94" s="67">
        <v>2</v>
      </c>
      <c r="I94" s="67">
        <v>2</v>
      </c>
      <c r="J94" s="67">
        <v>2</v>
      </c>
      <c r="K94" s="67">
        <v>2</v>
      </c>
      <c r="L94" s="67">
        <v>2</v>
      </c>
      <c r="M94" s="67">
        <v>2</v>
      </c>
      <c r="N94" s="67">
        <v>2</v>
      </c>
      <c r="O94" s="67">
        <v>2</v>
      </c>
      <c r="P94" s="67">
        <v>2</v>
      </c>
      <c r="Q94" s="67">
        <v>2</v>
      </c>
      <c r="R94" s="67">
        <v>2</v>
      </c>
      <c r="S94" s="67">
        <v>2</v>
      </c>
      <c r="T94" s="66">
        <v>2</v>
      </c>
      <c r="U94" s="64"/>
      <c r="V94" s="65"/>
      <c r="W94" s="65"/>
      <c r="X94" s="65"/>
      <c r="Y94" s="64"/>
      <c r="Z94" s="65"/>
      <c r="AA94" s="65"/>
      <c r="AB94" s="65"/>
      <c r="AC94" s="65"/>
      <c r="AD94" s="65"/>
      <c r="AE94" s="66" t="s">
        <v>22</v>
      </c>
      <c r="AM94" s="11"/>
      <c r="AN94" s="11"/>
      <c r="AO94" s="11"/>
      <c r="AP94" s="11"/>
      <c r="AQ94" s="11"/>
      <c r="AR94" s="11"/>
    </row>
    <row r="95" spans="1:44" s="4" customFormat="1">
      <c r="A95" s="84"/>
      <c r="B95" s="85"/>
      <c r="C95" s="71"/>
      <c r="D95" s="72"/>
      <c r="E95" s="72">
        <f t="shared" ref="E95" si="70">SUM(G95:X95)</f>
        <v>28</v>
      </c>
      <c r="F95" s="73"/>
      <c r="G95" s="71">
        <v>2</v>
      </c>
      <c r="H95" s="71">
        <v>2</v>
      </c>
      <c r="I95" s="71">
        <v>2</v>
      </c>
      <c r="J95" s="71">
        <v>2</v>
      </c>
      <c r="K95" s="71">
        <v>2</v>
      </c>
      <c r="L95" s="71">
        <v>2</v>
      </c>
      <c r="M95" s="71">
        <v>2</v>
      </c>
      <c r="N95" s="71">
        <v>2</v>
      </c>
      <c r="O95" s="71">
        <v>2</v>
      </c>
      <c r="P95" s="71">
        <v>2</v>
      </c>
      <c r="Q95" s="71">
        <v>2</v>
      </c>
      <c r="R95" s="71">
        <v>2</v>
      </c>
      <c r="S95" s="71">
        <v>2</v>
      </c>
      <c r="T95" s="73">
        <v>2</v>
      </c>
      <c r="U95" s="71"/>
      <c r="V95" s="72"/>
      <c r="W95" s="72"/>
      <c r="X95" s="72"/>
      <c r="Y95" s="71"/>
      <c r="Z95" s="72"/>
      <c r="AA95" s="72"/>
      <c r="AB95" s="72"/>
      <c r="AC95" s="72"/>
      <c r="AD95" s="72"/>
      <c r="AE95" s="76"/>
      <c r="AM95" s="12"/>
      <c r="AN95" s="95"/>
      <c r="AO95" s="144"/>
      <c r="AP95" s="144"/>
      <c r="AQ95" s="11"/>
      <c r="AR95" s="11"/>
    </row>
    <row r="96" spans="1:44" s="4" customFormat="1" ht="19.5" thickBot="1">
      <c r="A96" s="88"/>
      <c r="B96" s="89"/>
      <c r="C96" s="79"/>
      <c r="D96" s="80"/>
      <c r="E96" s="80"/>
      <c r="F96" s="81">
        <f t="shared" ref="F96" si="71">SUM(G96:X96)</f>
        <v>0</v>
      </c>
      <c r="G96" s="79"/>
      <c r="H96" s="80"/>
      <c r="I96" s="80"/>
      <c r="J96" s="79"/>
      <c r="K96" s="79"/>
      <c r="L96" s="80"/>
      <c r="M96" s="80"/>
      <c r="N96" s="80"/>
      <c r="O96" s="80"/>
      <c r="P96" s="80"/>
      <c r="Q96" s="86"/>
      <c r="R96" s="86"/>
      <c r="S96" s="87"/>
      <c r="T96" s="91"/>
      <c r="U96" s="86"/>
      <c r="V96" s="87"/>
      <c r="W96" s="87"/>
      <c r="X96" s="87"/>
      <c r="Y96" s="86"/>
      <c r="Z96" s="87"/>
      <c r="AA96" s="87"/>
      <c r="AB96" s="87"/>
      <c r="AC96" s="87"/>
      <c r="AD96" s="87"/>
      <c r="AE96" s="81">
        <v>18</v>
      </c>
      <c r="AM96" s="12"/>
      <c r="AN96" s="95"/>
      <c r="AO96" s="144"/>
      <c r="AP96" s="144"/>
      <c r="AQ96" s="11"/>
      <c r="AR96" s="11"/>
    </row>
    <row r="97" spans="1:44" ht="19.5" thickBot="1">
      <c r="A97" s="141" t="s">
        <v>55</v>
      </c>
      <c r="B97" s="142"/>
      <c r="C97" s="142"/>
      <c r="D97" s="142"/>
      <c r="E97" s="142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3"/>
    </row>
    <row r="98" spans="1:44" s="4" customFormat="1" ht="37.5">
      <c r="A98" s="82">
        <v>23</v>
      </c>
      <c r="B98" s="83" t="s">
        <v>45</v>
      </c>
      <c r="C98" s="64">
        <f t="shared" ref="C98" si="72">SUM(D98:F100)</f>
        <v>48</v>
      </c>
      <c r="D98" s="65">
        <f t="shared" ref="D98" si="73">SUM(G98:X98)</f>
        <v>16</v>
      </c>
      <c r="E98" s="65"/>
      <c r="F98" s="66"/>
      <c r="G98" s="67">
        <v>2</v>
      </c>
      <c r="H98" s="68"/>
      <c r="I98" s="68">
        <v>2</v>
      </c>
      <c r="J98" s="67"/>
      <c r="K98" s="64">
        <v>2</v>
      </c>
      <c r="L98" s="65"/>
      <c r="M98" s="65">
        <v>2</v>
      </c>
      <c r="N98" s="65"/>
      <c r="O98" s="65">
        <v>2</v>
      </c>
      <c r="P98" s="65"/>
      <c r="Q98" s="64">
        <v>2</v>
      </c>
      <c r="R98" s="64"/>
      <c r="S98" s="65">
        <v>2</v>
      </c>
      <c r="T98" s="65"/>
      <c r="U98" s="65">
        <v>2</v>
      </c>
      <c r="V98" s="66"/>
      <c r="W98" s="64"/>
      <c r="X98" s="65"/>
      <c r="Y98" s="64"/>
      <c r="Z98" s="65"/>
      <c r="AA98" s="65"/>
      <c r="AB98" s="65"/>
      <c r="AC98" s="65"/>
      <c r="AD98" s="65"/>
      <c r="AE98" s="66" t="s">
        <v>18</v>
      </c>
      <c r="AM98" s="11"/>
      <c r="AN98" s="11"/>
      <c r="AO98" s="11"/>
      <c r="AP98" s="11"/>
      <c r="AQ98" s="11"/>
      <c r="AR98" s="11"/>
    </row>
    <row r="99" spans="1:44" s="4" customFormat="1">
      <c r="A99" s="84"/>
      <c r="B99" s="85"/>
      <c r="C99" s="71"/>
      <c r="D99" s="72"/>
      <c r="E99" s="72">
        <f t="shared" ref="E99" si="74">SUM(G99:X99)</f>
        <v>20</v>
      </c>
      <c r="F99" s="73"/>
      <c r="G99" s="71">
        <v>2</v>
      </c>
      <c r="H99" s="71">
        <v>2</v>
      </c>
      <c r="I99" s="71">
        <v>2</v>
      </c>
      <c r="J99" s="71">
        <v>2</v>
      </c>
      <c r="K99" s="71">
        <v>2</v>
      </c>
      <c r="L99" s="71">
        <v>2</v>
      </c>
      <c r="M99" s="71">
        <v>2</v>
      </c>
      <c r="N99" s="71">
        <v>2</v>
      </c>
      <c r="O99" s="71">
        <v>2</v>
      </c>
      <c r="P99" s="75">
        <v>2</v>
      </c>
      <c r="Q99" s="71"/>
      <c r="R99" s="71"/>
      <c r="S99" s="72"/>
      <c r="T99" s="72"/>
      <c r="U99" s="72"/>
      <c r="V99" s="73"/>
      <c r="W99" s="71"/>
      <c r="X99" s="72"/>
      <c r="Y99" s="71"/>
      <c r="Z99" s="72"/>
      <c r="AA99" s="72"/>
      <c r="AB99" s="72"/>
      <c r="AC99" s="72"/>
      <c r="AD99" s="72"/>
      <c r="AE99" s="76"/>
      <c r="AM99" s="12"/>
      <c r="AN99" s="95"/>
      <c r="AO99" s="144"/>
      <c r="AP99" s="144"/>
      <c r="AQ99" s="11"/>
      <c r="AR99" s="11"/>
    </row>
    <row r="100" spans="1:44" s="4" customFormat="1" ht="19.5" thickBot="1">
      <c r="A100" s="97"/>
      <c r="B100" s="89"/>
      <c r="C100" s="79"/>
      <c r="D100" s="80"/>
      <c r="E100" s="80"/>
      <c r="F100" s="81">
        <f t="shared" ref="F100" si="75">SUM(G100:X100)</f>
        <v>12</v>
      </c>
      <c r="G100" s="79"/>
      <c r="H100" s="80"/>
      <c r="I100" s="80"/>
      <c r="J100" s="79"/>
      <c r="K100" s="79"/>
      <c r="L100" s="80"/>
      <c r="M100" s="80"/>
      <c r="N100" s="80"/>
      <c r="O100" s="80"/>
      <c r="P100" s="80"/>
      <c r="Q100" s="86">
        <v>2</v>
      </c>
      <c r="R100" s="86">
        <v>2</v>
      </c>
      <c r="S100" s="87">
        <v>2</v>
      </c>
      <c r="T100" s="87">
        <v>2</v>
      </c>
      <c r="U100" s="87">
        <v>2</v>
      </c>
      <c r="V100" s="91">
        <v>2</v>
      </c>
      <c r="W100" s="86"/>
      <c r="X100" s="87"/>
      <c r="Y100" s="86"/>
      <c r="Z100" s="87"/>
      <c r="AA100" s="87"/>
      <c r="AB100" s="87"/>
      <c r="AC100" s="87"/>
      <c r="AD100" s="87"/>
      <c r="AE100" s="81">
        <v>36</v>
      </c>
      <c r="AM100" s="12"/>
      <c r="AN100" s="95"/>
      <c r="AO100" s="144"/>
      <c r="AP100" s="144"/>
      <c r="AQ100" s="11"/>
      <c r="AR100" s="11"/>
    </row>
    <row r="101" spans="1:44" ht="19.5" thickBot="1">
      <c r="A101" s="141" t="s">
        <v>24</v>
      </c>
      <c r="B101" s="142"/>
      <c r="C101" s="142"/>
      <c r="D101" s="142"/>
      <c r="E101" s="142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3"/>
    </row>
    <row r="102" spans="1:44" s="4" customFormat="1" ht="37.5">
      <c r="A102" s="82">
        <v>23</v>
      </c>
      <c r="B102" s="83" t="s">
        <v>45</v>
      </c>
      <c r="C102" s="64">
        <f>SUM(D102:F104)</f>
        <v>42</v>
      </c>
      <c r="D102" s="65">
        <f>SUM(G102:X102)</f>
        <v>14</v>
      </c>
      <c r="E102" s="65"/>
      <c r="F102" s="66"/>
      <c r="G102" s="67">
        <v>2</v>
      </c>
      <c r="H102" s="68"/>
      <c r="I102" s="68">
        <v>2</v>
      </c>
      <c r="J102" s="67"/>
      <c r="K102" s="64">
        <v>2</v>
      </c>
      <c r="L102" s="65"/>
      <c r="M102" s="65">
        <v>2</v>
      </c>
      <c r="N102" s="65"/>
      <c r="O102" s="65">
        <v>2</v>
      </c>
      <c r="P102" s="65"/>
      <c r="Q102" s="64">
        <v>2</v>
      </c>
      <c r="R102" s="64"/>
      <c r="S102" s="65">
        <v>2</v>
      </c>
      <c r="T102" s="66"/>
      <c r="U102" s="64"/>
      <c r="V102" s="65"/>
      <c r="W102" s="65"/>
      <c r="X102" s="65"/>
      <c r="Y102" s="64"/>
      <c r="Z102" s="65"/>
      <c r="AA102" s="65"/>
      <c r="AB102" s="65"/>
      <c r="AC102" s="65"/>
      <c r="AD102" s="65"/>
      <c r="AE102" s="66" t="s">
        <v>56</v>
      </c>
      <c r="AM102" s="11"/>
      <c r="AN102" s="11"/>
      <c r="AO102" s="11"/>
      <c r="AP102" s="11"/>
      <c r="AQ102" s="11"/>
      <c r="AR102" s="11"/>
    </row>
    <row r="103" spans="1:44" s="4" customFormat="1">
      <c r="A103" s="84"/>
      <c r="B103" s="85"/>
      <c r="C103" s="71"/>
      <c r="D103" s="72"/>
      <c r="E103" s="72">
        <f>SUM(G103:X103)</f>
        <v>26</v>
      </c>
      <c r="F103" s="73"/>
      <c r="G103" s="71">
        <v>2</v>
      </c>
      <c r="H103" s="71">
        <v>2</v>
      </c>
      <c r="I103" s="71">
        <v>2</v>
      </c>
      <c r="J103" s="71">
        <v>2</v>
      </c>
      <c r="K103" s="71">
        <v>2</v>
      </c>
      <c r="L103" s="71">
        <v>2</v>
      </c>
      <c r="M103" s="71">
        <v>2</v>
      </c>
      <c r="N103" s="71">
        <v>2</v>
      </c>
      <c r="O103" s="71">
        <v>2</v>
      </c>
      <c r="P103" s="71">
        <v>2</v>
      </c>
      <c r="Q103" s="71">
        <v>2</v>
      </c>
      <c r="R103" s="71">
        <v>2</v>
      </c>
      <c r="S103" s="71">
        <v>2</v>
      </c>
      <c r="T103" s="73"/>
      <c r="U103" s="71"/>
      <c r="V103" s="71"/>
      <c r="W103" s="71"/>
      <c r="X103" s="72"/>
      <c r="Y103" s="71"/>
      <c r="Z103" s="72"/>
      <c r="AA103" s="72"/>
      <c r="AB103" s="72"/>
      <c r="AC103" s="72"/>
      <c r="AD103" s="72"/>
      <c r="AE103" s="76"/>
      <c r="AM103" s="12"/>
      <c r="AN103" s="95"/>
      <c r="AO103" s="144"/>
      <c r="AP103" s="144"/>
      <c r="AQ103" s="11"/>
      <c r="AR103" s="11"/>
    </row>
    <row r="104" spans="1:44" s="4" customFormat="1" ht="19.5" thickBot="1">
      <c r="A104" s="88"/>
      <c r="B104" s="89"/>
      <c r="C104" s="79"/>
      <c r="D104" s="80"/>
      <c r="E104" s="80"/>
      <c r="F104" s="81">
        <f>SUM(G104:X104)</f>
        <v>2</v>
      </c>
      <c r="G104" s="79"/>
      <c r="H104" s="80"/>
      <c r="I104" s="80"/>
      <c r="J104" s="79"/>
      <c r="K104" s="79"/>
      <c r="L104" s="80"/>
      <c r="M104" s="80"/>
      <c r="N104" s="80"/>
      <c r="O104" s="80"/>
      <c r="P104" s="80"/>
      <c r="Q104" s="79"/>
      <c r="R104" s="79"/>
      <c r="S104" s="80"/>
      <c r="T104" s="81">
        <v>2</v>
      </c>
      <c r="U104" s="79"/>
      <c r="V104" s="80"/>
      <c r="W104" s="80"/>
      <c r="X104" s="87"/>
      <c r="Y104" s="86"/>
      <c r="Z104" s="87"/>
      <c r="AA104" s="87"/>
      <c r="AB104" s="87"/>
      <c r="AC104" s="87"/>
      <c r="AD104" s="87"/>
      <c r="AE104" s="81">
        <v>18</v>
      </c>
      <c r="AM104" s="12"/>
      <c r="AN104" s="95"/>
      <c r="AO104" s="144"/>
      <c r="AP104" s="144"/>
      <c r="AQ104" s="11"/>
      <c r="AR104" s="11"/>
    </row>
    <row r="105" spans="1:44" ht="19.5" thickBot="1">
      <c r="A105" s="141" t="s">
        <v>57</v>
      </c>
      <c r="B105" s="142"/>
      <c r="C105" s="142"/>
      <c r="D105" s="142"/>
      <c r="E105" s="142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3"/>
    </row>
    <row r="106" spans="1:44" s="4" customFormat="1" ht="37.5">
      <c r="A106" s="82">
        <v>23</v>
      </c>
      <c r="B106" s="83" t="s">
        <v>45</v>
      </c>
      <c r="C106" s="64">
        <f>SUM(D106:F108)</f>
        <v>48</v>
      </c>
      <c r="D106" s="65">
        <f>SUM(G106:X106)</f>
        <v>16</v>
      </c>
      <c r="E106" s="65"/>
      <c r="F106" s="66"/>
      <c r="G106" s="67">
        <v>2</v>
      </c>
      <c r="H106" s="68"/>
      <c r="I106" s="68">
        <v>2</v>
      </c>
      <c r="J106" s="67"/>
      <c r="K106" s="64">
        <v>2</v>
      </c>
      <c r="L106" s="65"/>
      <c r="M106" s="65">
        <v>2</v>
      </c>
      <c r="N106" s="65"/>
      <c r="O106" s="65">
        <v>2</v>
      </c>
      <c r="P106" s="65"/>
      <c r="Q106" s="64">
        <v>2</v>
      </c>
      <c r="R106" s="64"/>
      <c r="S106" s="65">
        <v>2</v>
      </c>
      <c r="T106" s="65"/>
      <c r="U106" s="65">
        <v>2</v>
      </c>
      <c r="V106" s="66"/>
      <c r="W106" s="64"/>
      <c r="X106" s="65"/>
      <c r="Y106" s="64"/>
      <c r="Z106" s="65"/>
      <c r="AA106" s="65"/>
      <c r="AB106" s="65"/>
      <c r="AC106" s="65"/>
      <c r="AD106" s="65"/>
      <c r="AE106" s="66" t="s">
        <v>18</v>
      </c>
      <c r="AM106" s="11"/>
      <c r="AN106" s="11"/>
      <c r="AO106" s="11"/>
      <c r="AP106" s="11"/>
      <c r="AQ106" s="11"/>
      <c r="AR106" s="11"/>
    </row>
    <row r="107" spans="1:44" s="4" customFormat="1">
      <c r="A107" s="84"/>
      <c r="B107" s="85"/>
      <c r="C107" s="71"/>
      <c r="D107" s="72"/>
      <c r="E107" s="72">
        <f>SUM(G107:X107)</f>
        <v>26</v>
      </c>
      <c r="F107" s="73"/>
      <c r="G107" s="71">
        <v>2</v>
      </c>
      <c r="H107" s="71">
        <v>2</v>
      </c>
      <c r="I107" s="71">
        <v>2</v>
      </c>
      <c r="J107" s="71">
        <v>2</v>
      </c>
      <c r="K107" s="71">
        <v>2</v>
      </c>
      <c r="L107" s="71">
        <v>2</v>
      </c>
      <c r="M107" s="71">
        <v>2</v>
      </c>
      <c r="N107" s="71">
        <v>2</v>
      </c>
      <c r="O107" s="71">
        <v>2</v>
      </c>
      <c r="P107" s="71">
        <v>2</v>
      </c>
      <c r="Q107" s="71">
        <v>2</v>
      </c>
      <c r="R107" s="71">
        <v>2</v>
      </c>
      <c r="S107" s="71">
        <v>2</v>
      </c>
      <c r="T107" s="71"/>
      <c r="U107" s="71"/>
      <c r="V107" s="73"/>
      <c r="W107" s="71"/>
      <c r="X107" s="72"/>
      <c r="Y107" s="71"/>
      <c r="Z107" s="72"/>
      <c r="AA107" s="72"/>
      <c r="AB107" s="72"/>
      <c r="AC107" s="72"/>
      <c r="AD107" s="72"/>
      <c r="AE107" s="76"/>
      <c r="AM107" s="12"/>
      <c r="AN107" s="95"/>
      <c r="AO107" s="144"/>
      <c r="AP107" s="144"/>
      <c r="AQ107" s="11"/>
      <c r="AR107" s="11"/>
    </row>
    <row r="108" spans="1:44" s="4" customFormat="1" ht="19.5" thickBot="1">
      <c r="A108" s="88"/>
      <c r="B108" s="89"/>
      <c r="C108" s="79"/>
      <c r="D108" s="80"/>
      <c r="E108" s="80"/>
      <c r="F108" s="81">
        <f>SUM(G108:X108)</f>
        <v>6</v>
      </c>
      <c r="G108" s="79"/>
      <c r="H108" s="80"/>
      <c r="I108" s="80"/>
      <c r="J108" s="79"/>
      <c r="K108" s="79"/>
      <c r="L108" s="80"/>
      <c r="M108" s="80"/>
      <c r="N108" s="80"/>
      <c r="O108" s="80"/>
      <c r="P108" s="80"/>
      <c r="Q108" s="79"/>
      <c r="R108" s="79"/>
      <c r="S108" s="80"/>
      <c r="T108" s="80">
        <v>2</v>
      </c>
      <c r="U108" s="80">
        <v>2</v>
      </c>
      <c r="V108" s="81">
        <v>2</v>
      </c>
      <c r="W108" s="79"/>
      <c r="X108" s="87"/>
      <c r="Y108" s="86"/>
      <c r="Z108" s="87"/>
      <c r="AA108" s="87"/>
      <c r="AB108" s="87"/>
      <c r="AC108" s="87"/>
      <c r="AD108" s="87"/>
      <c r="AE108" s="81">
        <v>36</v>
      </c>
      <c r="AM108" s="12"/>
      <c r="AN108" s="95"/>
      <c r="AO108" s="144"/>
      <c r="AP108" s="144"/>
      <c r="AQ108" s="11"/>
      <c r="AR108" s="11"/>
    </row>
    <row r="109" spans="1:44" ht="19.5" thickBot="1">
      <c r="A109" s="141" t="s">
        <v>26</v>
      </c>
      <c r="B109" s="142"/>
      <c r="C109" s="142"/>
      <c r="D109" s="142"/>
      <c r="E109" s="142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3"/>
    </row>
    <row r="110" spans="1:44" s="4" customFormat="1" ht="37.5">
      <c r="A110" s="82">
        <v>23</v>
      </c>
      <c r="B110" s="83" t="s">
        <v>58</v>
      </c>
      <c r="C110" s="64">
        <f>SUM(D110:F112)</f>
        <v>42</v>
      </c>
      <c r="D110" s="65">
        <f>SUM(G110:X110)</f>
        <v>14</v>
      </c>
      <c r="E110" s="65"/>
      <c r="F110" s="66"/>
      <c r="G110" s="67">
        <v>2</v>
      </c>
      <c r="H110" s="68"/>
      <c r="I110" s="68">
        <v>2</v>
      </c>
      <c r="J110" s="67"/>
      <c r="K110" s="64">
        <v>2</v>
      </c>
      <c r="L110" s="65"/>
      <c r="M110" s="65">
        <v>2</v>
      </c>
      <c r="N110" s="65"/>
      <c r="O110" s="65">
        <v>2</v>
      </c>
      <c r="P110" s="65"/>
      <c r="Q110" s="64">
        <v>2</v>
      </c>
      <c r="R110" s="64"/>
      <c r="S110" s="65">
        <v>2</v>
      </c>
      <c r="T110" s="66"/>
      <c r="U110" s="64"/>
      <c r="V110" s="65"/>
      <c r="W110" s="65"/>
      <c r="X110" s="65"/>
      <c r="Y110" s="64"/>
      <c r="Z110" s="65"/>
      <c r="AA110" s="65"/>
      <c r="AB110" s="65"/>
      <c r="AC110" s="65"/>
      <c r="AD110" s="65"/>
      <c r="AE110" s="66" t="s">
        <v>18</v>
      </c>
      <c r="AM110" s="11"/>
      <c r="AN110" s="11"/>
      <c r="AO110" s="11"/>
      <c r="AP110" s="11"/>
      <c r="AQ110" s="11"/>
      <c r="AR110" s="11"/>
    </row>
    <row r="111" spans="1:44" s="4" customFormat="1">
      <c r="A111" s="84"/>
      <c r="B111" s="85"/>
      <c r="C111" s="71"/>
      <c r="D111" s="72"/>
      <c r="E111" s="72">
        <f>SUM(G111:X111)</f>
        <v>28</v>
      </c>
      <c r="F111" s="73"/>
      <c r="G111" s="71">
        <v>2</v>
      </c>
      <c r="H111" s="71">
        <v>2</v>
      </c>
      <c r="I111" s="71">
        <v>2</v>
      </c>
      <c r="J111" s="71">
        <v>2</v>
      </c>
      <c r="K111" s="71">
        <v>2</v>
      </c>
      <c r="L111" s="71">
        <v>2</v>
      </c>
      <c r="M111" s="71">
        <v>2</v>
      </c>
      <c r="N111" s="71">
        <v>2</v>
      </c>
      <c r="O111" s="71">
        <v>2</v>
      </c>
      <c r="P111" s="71">
        <v>2</v>
      </c>
      <c r="Q111" s="71">
        <v>2</v>
      </c>
      <c r="R111" s="71">
        <v>2</v>
      </c>
      <c r="S111" s="71">
        <v>2</v>
      </c>
      <c r="T111" s="73">
        <v>2</v>
      </c>
      <c r="U111" s="71"/>
      <c r="V111" s="71"/>
      <c r="W111" s="71"/>
      <c r="X111" s="72"/>
      <c r="Y111" s="71"/>
      <c r="Z111" s="72"/>
      <c r="AA111" s="72"/>
      <c r="AB111" s="72"/>
      <c r="AC111" s="72"/>
      <c r="AD111" s="72"/>
      <c r="AE111" s="76"/>
      <c r="AM111" s="12"/>
      <c r="AN111" s="95"/>
      <c r="AO111" s="144"/>
      <c r="AP111" s="144"/>
      <c r="AQ111" s="11"/>
      <c r="AR111" s="11"/>
    </row>
    <row r="112" spans="1:44" s="4" customFormat="1" ht="19.5" thickBot="1">
      <c r="A112" s="88"/>
      <c r="B112" s="89"/>
      <c r="C112" s="79"/>
      <c r="D112" s="80"/>
      <c r="E112" s="80"/>
      <c r="F112" s="81">
        <f>SUM(G112:X112)</f>
        <v>0</v>
      </c>
      <c r="G112" s="79"/>
      <c r="H112" s="80"/>
      <c r="I112" s="80"/>
      <c r="J112" s="79"/>
      <c r="K112" s="79"/>
      <c r="L112" s="80"/>
      <c r="M112" s="80"/>
      <c r="N112" s="80"/>
      <c r="O112" s="80"/>
      <c r="P112" s="80"/>
      <c r="Q112" s="79"/>
      <c r="R112" s="79"/>
      <c r="S112" s="80"/>
      <c r="T112" s="81"/>
      <c r="U112" s="79"/>
      <c r="V112" s="80"/>
      <c r="W112" s="80"/>
      <c r="X112" s="87"/>
      <c r="Y112" s="86"/>
      <c r="Z112" s="87"/>
      <c r="AA112" s="87"/>
      <c r="AB112" s="87"/>
      <c r="AC112" s="87"/>
      <c r="AD112" s="87"/>
      <c r="AE112" s="81">
        <v>36</v>
      </c>
      <c r="AM112" s="12"/>
      <c r="AN112" s="95"/>
      <c r="AO112" s="144"/>
      <c r="AP112" s="144"/>
      <c r="AQ112" s="11"/>
      <c r="AR112" s="11"/>
    </row>
    <row r="113" spans="1:44" ht="19.5" thickBot="1">
      <c r="A113" s="155" t="s">
        <v>27</v>
      </c>
      <c r="B113" s="155"/>
      <c r="C113" s="155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5"/>
      <c r="AC113" s="155"/>
      <c r="AD113" s="155"/>
      <c r="AE113" s="155"/>
    </row>
    <row r="114" spans="1:44" ht="19.5" thickBot="1">
      <c r="A114" s="141" t="s">
        <v>61</v>
      </c>
      <c r="B114" s="142"/>
      <c r="C114" s="142"/>
      <c r="D114" s="142"/>
      <c r="E114" s="142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3"/>
    </row>
    <row r="115" spans="1:44" s="4" customFormat="1" ht="37.5">
      <c r="A115" s="82">
        <v>23</v>
      </c>
      <c r="B115" s="83" t="s">
        <v>59</v>
      </c>
      <c r="C115" s="64">
        <f t="shared" ref="C115" si="76">SUM(D115:F117)</f>
        <v>40</v>
      </c>
      <c r="D115" s="65">
        <f t="shared" ref="D115" si="77">SUM(G115:AD115)</f>
        <v>16</v>
      </c>
      <c r="E115" s="65"/>
      <c r="F115" s="66"/>
      <c r="G115" s="67">
        <v>2</v>
      </c>
      <c r="H115" s="67">
        <v>2</v>
      </c>
      <c r="I115" s="67">
        <v>2</v>
      </c>
      <c r="J115" s="67">
        <v>2</v>
      </c>
      <c r="K115" s="67">
        <v>2</v>
      </c>
      <c r="L115" s="67">
        <v>2</v>
      </c>
      <c r="M115" s="67">
        <v>2</v>
      </c>
      <c r="N115" s="67">
        <v>2</v>
      </c>
      <c r="O115" s="65"/>
      <c r="P115" s="65"/>
      <c r="Q115" s="64"/>
      <c r="R115" s="64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6" t="s">
        <v>18</v>
      </c>
      <c r="AM115" s="11"/>
      <c r="AN115" s="11"/>
      <c r="AO115" s="11"/>
      <c r="AP115" s="11"/>
      <c r="AQ115" s="11"/>
      <c r="AR115" s="11"/>
    </row>
    <row r="116" spans="1:44" s="4" customFormat="1">
      <c r="A116" s="84"/>
      <c r="B116" s="85"/>
      <c r="C116" s="71"/>
      <c r="D116" s="72"/>
      <c r="E116" s="72">
        <f t="shared" ref="E116" si="78">SUM(G116:AD116)</f>
        <v>24</v>
      </c>
      <c r="F116" s="73"/>
      <c r="G116" s="104">
        <v>2</v>
      </c>
      <c r="H116" s="72">
        <v>4</v>
      </c>
      <c r="I116" s="71">
        <v>2</v>
      </c>
      <c r="J116" s="72">
        <v>4</v>
      </c>
      <c r="K116" s="71">
        <v>2</v>
      </c>
      <c r="L116" s="72">
        <v>4</v>
      </c>
      <c r="M116" s="72">
        <v>2</v>
      </c>
      <c r="N116" s="72">
        <v>4</v>
      </c>
      <c r="O116" s="72"/>
      <c r="P116" s="72"/>
      <c r="Q116" s="71"/>
      <c r="R116" s="71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6" t="s">
        <v>31</v>
      </c>
      <c r="AM116" s="12"/>
      <c r="AN116" s="95"/>
      <c r="AO116" s="144"/>
      <c r="AP116" s="144"/>
      <c r="AQ116" s="11"/>
      <c r="AR116" s="11"/>
    </row>
    <row r="117" spans="1:44" s="4" customFormat="1" ht="19.5" thickBot="1">
      <c r="A117" s="84"/>
      <c r="B117" s="85"/>
      <c r="C117" s="79"/>
      <c r="D117" s="80"/>
      <c r="E117" s="80"/>
      <c r="F117" s="81">
        <f t="shared" ref="F117" si="79">SUM(G117:AD117)</f>
        <v>0</v>
      </c>
      <c r="G117" s="86"/>
      <c r="H117" s="87"/>
      <c r="I117" s="86"/>
      <c r="J117" s="79"/>
      <c r="K117" s="86"/>
      <c r="L117" s="72"/>
      <c r="M117" s="72"/>
      <c r="N117" s="72"/>
      <c r="O117" s="72"/>
      <c r="P117" s="72"/>
      <c r="Q117" s="71"/>
      <c r="R117" s="71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81">
        <v>45</v>
      </c>
      <c r="AM117" s="12"/>
      <c r="AN117" s="95"/>
      <c r="AO117" s="144"/>
      <c r="AP117" s="144"/>
      <c r="AQ117" s="11"/>
      <c r="AR117" s="11"/>
    </row>
    <row r="118" spans="1:44" s="4" customFormat="1" ht="37.5">
      <c r="A118" s="62">
        <v>23</v>
      </c>
      <c r="B118" s="63" t="s">
        <v>43</v>
      </c>
      <c r="C118" s="64">
        <f t="shared" ref="C118" si="80">SUM(D118:F120)</f>
        <v>48</v>
      </c>
      <c r="D118" s="65">
        <f t="shared" ref="D118" si="81">SUM(G118:AD118)</f>
        <v>24</v>
      </c>
      <c r="E118" s="65"/>
      <c r="F118" s="66"/>
      <c r="G118" s="67">
        <v>4</v>
      </c>
      <c r="H118" s="68">
        <v>2</v>
      </c>
      <c r="I118" s="68">
        <v>4</v>
      </c>
      <c r="J118" s="67">
        <v>2</v>
      </c>
      <c r="K118" s="64">
        <v>4</v>
      </c>
      <c r="L118" s="65">
        <v>2</v>
      </c>
      <c r="M118" s="65">
        <v>4</v>
      </c>
      <c r="N118" s="65">
        <v>2</v>
      </c>
      <c r="O118" s="65"/>
      <c r="P118" s="65"/>
      <c r="Q118" s="64"/>
      <c r="R118" s="64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6" t="s">
        <v>60</v>
      </c>
    </row>
    <row r="119" spans="1:44" s="4" customFormat="1" ht="19.5">
      <c r="A119" s="69"/>
      <c r="B119" s="70"/>
      <c r="C119" s="71"/>
      <c r="D119" s="72"/>
      <c r="E119" s="72">
        <f t="shared" ref="E119" si="82">SUM(G119:AD119)</f>
        <v>24</v>
      </c>
      <c r="F119" s="73"/>
      <c r="G119" s="71">
        <v>2</v>
      </c>
      <c r="H119" s="72">
        <v>4</v>
      </c>
      <c r="I119" s="72">
        <v>2</v>
      </c>
      <c r="J119" s="71">
        <v>4</v>
      </c>
      <c r="K119" s="74">
        <v>2</v>
      </c>
      <c r="L119" s="75">
        <v>4</v>
      </c>
      <c r="M119" s="75">
        <v>2</v>
      </c>
      <c r="N119" s="75">
        <v>4</v>
      </c>
      <c r="O119" s="75"/>
      <c r="P119" s="75"/>
      <c r="Q119" s="71"/>
      <c r="R119" s="71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6"/>
    </row>
    <row r="120" spans="1:44" s="4" customFormat="1" ht="21.75" customHeight="1" thickBot="1">
      <c r="A120" s="77"/>
      <c r="B120" s="78"/>
      <c r="C120" s="79"/>
      <c r="D120" s="80"/>
      <c r="E120" s="80"/>
      <c r="F120" s="81">
        <f t="shared" ref="F120" si="83">SUM(G120:AD120)</f>
        <v>0</v>
      </c>
      <c r="G120" s="79"/>
      <c r="H120" s="80"/>
      <c r="I120" s="80"/>
      <c r="J120" s="79"/>
      <c r="K120" s="79"/>
      <c r="L120" s="80"/>
      <c r="M120" s="80"/>
      <c r="N120" s="80"/>
      <c r="O120" s="80"/>
      <c r="P120" s="80"/>
      <c r="Q120" s="79"/>
      <c r="R120" s="79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1">
        <v>27</v>
      </c>
      <c r="AM120" s="11"/>
      <c r="AN120" s="11"/>
      <c r="AO120" s="11"/>
      <c r="AP120" s="11"/>
      <c r="AQ120" s="11"/>
      <c r="AR120" s="11"/>
    </row>
    <row r="121" spans="1:44" ht="19.5" thickBot="1">
      <c r="A121" s="141" t="s">
        <v>65</v>
      </c>
      <c r="B121" s="142"/>
      <c r="C121" s="142"/>
      <c r="D121" s="142"/>
      <c r="E121" s="142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3"/>
    </row>
    <row r="122" spans="1:44" s="4" customFormat="1" ht="93.75">
      <c r="A122" s="62">
        <v>23</v>
      </c>
      <c r="B122" s="63" t="s">
        <v>62</v>
      </c>
      <c r="C122" s="64">
        <f t="shared" ref="C122" si="84">SUM(D122:F124)</f>
        <v>72</v>
      </c>
      <c r="D122" s="65">
        <f t="shared" ref="D122" si="85">SUM(G122:AD122)</f>
        <v>36</v>
      </c>
      <c r="E122" s="65"/>
      <c r="F122" s="66"/>
      <c r="G122" s="67">
        <v>4</v>
      </c>
      <c r="H122" s="67">
        <v>4</v>
      </c>
      <c r="I122" s="67">
        <v>4</v>
      </c>
      <c r="J122" s="67">
        <v>4</v>
      </c>
      <c r="K122" s="67">
        <v>4</v>
      </c>
      <c r="L122" s="67">
        <v>4</v>
      </c>
      <c r="M122" s="67">
        <v>4</v>
      </c>
      <c r="N122" s="67">
        <v>4</v>
      </c>
      <c r="O122" s="67">
        <v>4</v>
      </c>
      <c r="P122" s="65"/>
      <c r="Q122" s="64"/>
      <c r="R122" s="64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6" t="s">
        <v>18</v>
      </c>
    </row>
    <row r="123" spans="1:44" s="4" customFormat="1" ht="19.5">
      <c r="A123" s="69"/>
      <c r="B123" s="70"/>
      <c r="C123" s="71"/>
      <c r="D123" s="72"/>
      <c r="E123" s="72">
        <f t="shared" ref="E123" si="86">SUM(G123:AD123)</f>
        <v>36</v>
      </c>
      <c r="F123" s="73"/>
      <c r="G123" s="71">
        <v>4</v>
      </c>
      <c r="H123" s="71">
        <v>4</v>
      </c>
      <c r="I123" s="71">
        <v>4</v>
      </c>
      <c r="J123" s="71">
        <v>4</v>
      </c>
      <c r="K123" s="71">
        <v>4</v>
      </c>
      <c r="L123" s="71">
        <v>4</v>
      </c>
      <c r="M123" s="71">
        <v>4</v>
      </c>
      <c r="N123" s="71">
        <v>4</v>
      </c>
      <c r="O123" s="71">
        <v>4</v>
      </c>
      <c r="P123" s="75"/>
      <c r="Q123" s="71"/>
      <c r="R123" s="71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6"/>
    </row>
    <row r="124" spans="1:44" s="4" customFormat="1" ht="21.75" customHeight="1" thickBot="1">
      <c r="A124" s="77"/>
      <c r="B124" s="78"/>
      <c r="C124" s="79"/>
      <c r="D124" s="80"/>
      <c r="E124" s="80"/>
      <c r="F124" s="81">
        <f t="shared" ref="F124" si="87">SUM(G124:AD124)</f>
        <v>0</v>
      </c>
      <c r="G124" s="79"/>
      <c r="H124" s="80"/>
      <c r="I124" s="80"/>
      <c r="J124" s="79"/>
      <c r="K124" s="79"/>
      <c r="L124" s="80"/>
      <c r="M124" s="80"/>
      <c r="N124" s="80"/>
      <c r="O124" s="80"/>
      <c r="P124" s="80"/>
      <c r="Q124" s="79"/>
      <c r="R124" s="79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1">
        <v>36</v>
      </c>
      <c r="AM124" s="11"/>
      <c r="AN124" s="11"/>
      <c r="AO124" s="11"/>
      <c r="AP124" s="11"/>
      <c r="AQ124" s="11"/>
      <c r="AR124" s="11"/>
    </row>
    <row r="125" spans="1:44" s="4" customFormat="1" ht="75">
      <c r="A125" s="82">
        <v>23</v>
      </c>
      <c r="B125" s="83" t="s">
        <v>63</v>
      </c>
      <c r="C125" s="64">
        <f t="shared" ref="C125" si="88">SUM(D125:F127)</f>
        <v>18</v>
      </c>
      <c r="D125" s="65">
        <f t="shared" ref="D125" si="89">SUM(G125:AD125)</f>
        <v>8</v>
      </c>
      <c r="E125" s="65"/>
      <c r="F125" s="66"/>
      <c r="G125" s="64">
        <v>2</v>
      </c>
      <c r="H125" s="65"/>
      <c r="I125" s="65">
        <v>2</v>
      </c>
      <c r="J125" s="64"/>
      <c r="K125" s="64">
        <v>2</v>
      </c>
      <c r="L125" s="65"/>
      <c r="M125" s="65">
        <v>2</v>
      </c>
      <c r="N125" s="65"/>
      <c r="O125" s="65"/>
      <c r="P125" s="65"/>
      <c r="Q125" s="64"/>
      <c r="R125" s="64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6" t="s">
        <v>25</v>
      </c>
      <c r="AM125" s="11"/>
      <c r="AN125" s="11"/>
      <c r="AO125" s="11"/>
      <c r="AP125" s="11"/>
      <c r="AQ125" s="11"/>
      <c r="AR125" s="11"/>
    </row>
    <row r="126" spans="1:44" s="4" customFormat="1" ht="19.5">
      <c r="A126" s="84"/>
      <c r="B126" s="98" t="s">
        <v>64</v>
      </c>
      <c r="C126" s="71"/>
      <c r="D126" s="72"/>
      <c r="E126" s="72">
        <f t="shared" ref="E126" si="90">SUM(G126:AD126)</f>
        <v>10</v>
      </c>
      <c r="F126" s="73"/>
      <c r="G126" s="71"/>
      <c r="H126" s="72">
        <v>2</v>
      </c>
      <c r="I126" s="72"/>
      <c r="J126" s="71">
        <v>2</v>
      </c>
      <c r="K126" s="74"/>
      <c r="L126" s="72">
        <v>2</v>
      </c>
      <c r="M126" s="72"/>
      <c r="N126" s="72">
        <v>2</v>
      </c>
      <c r="O126" s="72">
        <v>2</v>
      </c>
      <c r="P126" s="72"/>
      <c r="Q126" s="71"/>
      <c r="R126" s="71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6"/>
      <c r="AM126" s="12"/>
      <c r="AN126" s="95"/>
      <c r="AO126" s="144"/>
      <c r="AP126" s="144"/>
      <c r="AQ126" s="11"/>
      <c r="AR126" s="11"/>
    </row>
    <row r="127" spans="1:44" s="4" customFormat="1" ht="19.5" thickBot="1">
      <c r="A127" s="88"/>
      <c r="B127" s="89"/>
      <c r="C127" s="79"/>
      <c r="D127" s="80"/>
      <c r="E127" s="80"/>
      <c r="F127" s="81">
        <f t="shared" ref="F127" si="91">SUM(G127:AD127)</f>
        <v>0</v>
      </c>
      <c r="G127" s="79"/>
      <c r="H127" s="80"/>
      <c r="I127" s="80"/>
      <c r="J127" s="79"/>
      <c r="K127" s="86"/>
      <c r="L127" s="87"/>
      <c r="M127" s="87"/>
      <c r="N127" s="87"/>
      <c r="O127" s="87"/>
      <c r="P127" s="87"/>
      <c r="Q127" s="86"/>
      <c r="R127" s="86"/>
      <c r="S127" s="87"/>
      <c r="T127" s="87"/>
      <c r="U127" s="87"/>
      <c r="V127" s="87"/>
      <c r="W127" s="87"/>
      <c r="X127" s="87"/>
      <c r="Y127" s="87"/>
      <c r="Z127" s="87"/>
      <c r="AA127" s="87"/>
      <c r="AB127" s="87"/>
      <c r="AC127" s="87"/>
      <c r="AD127" s="87"/>
      <c r="AE127" s="81">
        <v>9</v>
      </c>
      <c r="AM127" s="12"/>
      <c r="AN127" s="95"/>
      <c r="AO127" s="144"/>
      <c r="AP127" s="144"/>
      <c r="AQ127" s="11"/>
      <c r="AR127" s="11"/>
    </row>
    <row r="128" spans="1:44" ht="19.5" thickBot="1">
      <c r="A128" s="141" t="s">
        <v>68</v>
      </c>
      <c r="B128" s="142"/>
      <c r="C128" s="142"/>
      <c r="D128" s="142"/>
      <c r="E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3"/>
    </row>
    <row r="129" spans="1:44" s="4" customFormat="1" ht="75">
      <c r="A129" s="62">
        <v>23</v>
      </c>
      <c r="B129" s="63" t="s">
        <v>66</v>
      </c>
      <c r="C129" s="64">
        <f t="shared" ref="C129" si="92">SUM(D129:F131)</f>
        <v>32</v>
      </c>
      <c r="D129" s="65">
        <f t="shared" ref="D129" si="93">SUM(G129:AD129)</f>
        <v>16</v>
      </c>
      <c r="E129" s="65"/>
      <c r="F129" s="66"/>
      <c r="G129" s="67">
        <v>2</v>
      </c>
      <c r="H129" s="67">
        <v>2</v>
      </c>
      <c r="I129" s="67">
        <v>2</v>
      </c>
      <c r="J129" s="67">
        <v>2</v>
      </c>
      <c r="K129" s="67">
        <v>2</v>
      </c>
      <c r="L129" s="67">
        <v>2</v>
      </c>
      <c r="M129" s="67">
        <v>2</v>
      </c>
      <c r="N129" s="67">
        <v>2</v>
      </c>
      <c r="O129" s="108"/>
      <c r="P129" s="64"/>
      <c r="Q129" s="64"/>
      <c r="R129" s="64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6" t="s">
        <v>56</v>
      </c>
    </row>
    <row r="130" spans="1:44" s="4" customFormat="1" ht="19.5">
      <c r="A130" s="69"/>
      <c r="B130" s="70"/>
      <c r="C130" s="71"/>
      <c r="D130" s="72"/>
      <c r="E130" s="72">
        <f t="shared" ref="E130" si="94">SUM(G130:AD130)</f>
        <v>16</v>
      </c>
      <c r="F130" s="73"/>
      <c r="G130" s="71">
        <v>4</v>
      </c>
      <c r="H130" s="71"/>
      <c r="I130" s="71">
        <v>4</v>
      </c>
      <c r="J130" s="71"/>
      <c r="K130" s="71">
        <v>4</v>
      </c>
      <c r="L130" s="71"/>
      <c r="M130" s="71">
        <v>2</v>
      </c>
      <c r="N130" s="71"/>
      <c r="O130" s="118">
        <v>2</v>
      </c>
      <c r="P130" s="74"/>
      <c r="Q130" s="71"/>
      <c r="R130" s="71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6"/>
    </row>
    <row r="131" spans="1:44" s="4" customFormat="1" ht="21.75" customHeight="1" thickBot="1">
      <c r="A131" s="77"/>
      <c r="B131" s="78"/>
      <c r="C131" s="79"/>
      <c r="D131" s="80"/>
      <c r="E131" s="80"/>
      <c r="F131" s="81">
        <f t="shared" ref="F131" si="95">SUM(G131:AD131)</f>
        <v>0</v>
      </c>
      <c r="G131" s="79"/>
      <c r="H131" s="80"/>
      <c r="I131" s="80"/>
      <c r="J131" s="79"/>
      <c r="K131" s="79"/>
      <c r="L131" s="80"/>
      <c r="M131" s="80"/>
      <c r="N131" s="80"/>
      <c r="O131" s="113"/>
      <c r="P131" s="79"/>
      <c r="Q131" s="79"/>
      <c r="R131" s="79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1">
        <v>18</v>
      </c>
      <c r="AM131" s="11"/>
      <c r="AN131" s="11"/>
      <c r="AO131" s="11"/>
      <c r="AP131" s="11"/>
      <c r="AQ131" s="11"/>
      <c r="AR131" s="11"/>
    </row>
    <row r="132" spans="1:44" s="4" customFormat="1" ht="75">
      <c r="A132" s="82">
        <v>23</v>
      </c>
      <c r="B132" s="83" t="s">
        <v>67</v>
      </c>
      <c r="C132" s="64">
        <f t="shared" ref="C132" si="96">SUM(D132:F134)</f>
        <v>32</v>
      </c>
      <c r="D132" s="65">
        <f t="shared" ref="D132" si="97">SUM(G132:AD132)</f>
        <v>16</v>
      </c>
      <c r="E132" s="65"/>
      <c r="F132" s="66"/>
      <c r="G132" s="67">
        <v>2</v>
      </c>
      <c r="H132" s="67">
        <v>2</v>
      </c>
      <c r="I132" s="67">
        <v>2</v>
      </c>
      <c r="J132" s="67">
        <v>2</v>
      </c>
      <c r="K132" s="67">
        <v>2</v>
      </c>
      <c r="L132" s="67">
        <v>2</v>
      </c>
      <c r="M132" s="67">
        <v>2</v>
      </c>
      <c r="N132" s="67">
        <v>2</v>
      </c>
      <c r="O132" s="108"/>
      <c r="P132" s="64"/>
      <c r="Q132" s="64"/>
      <c r="R132" s="64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6" t="s">
        <v>56</v>
      </c>
      <c r="AM132" s="11"/>
      <c r="AN132" s="11"/>
      <c r="AO132" s="11"/>
      <c r="AP132" s="11"/>
      <c r="AQ132" s="11"/>
      <c r="AR132" s="11"/>
    </row>
    <row r="133" spans="1:44" s="4" customFormat="1">
      <c r="A133" s="84"/>
      <c r="B133" s="85"/>
      <c r="C133" s="71"/>
      <c r="D133" s="72"/>
      <c r="E133" s="72">
        <f t="shared" ref="E133" si="98">SUM(G133:AD133)</f>
        <v>16</v>
      </c>
      <c r="F133" s="73"/>
      <c r="G133" s="71">
        <v>4</v>
      </c>
      <c r="H133" s="71"/>
      <c r="I133" s="71">
        <v>4</v>
      </c>
      <c r="J133" s="71"/>
      <c r="K133" s="71">
        <v>4</v>
      </c>
      <c r="L133" s="71"/>
      <c r="M133" s="71">
        <v>2</v>
      </c>
      <c r="N133" s="71"/>
      <c r="O133" s="110">
        <v>2</v>
      </c>
      <c r="P133" s="71"/>
      <c r="Q133" s="71"/>
      <c r="R133" s="71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6"/>
      <c r="AM133" s="12"/>
      <c r="AN133" s="95"/>
      <c r="AO133" s="144"/>
      <c r="AP133" s="144"/>
      <c r="AQ133" s="11"/>
      <c r="AR133" s="11"/>
    </row>
    <row r="134" spans="1:44" s="4" customFormat="1" ht="19.5" thickBot="1">
      <c r="A134" s="88"/>
      <c r="B134" s="89"/>
      <c r="C134" s="79"/>
      <c r="D134" s="80"/>
      <c r="E134" s="80"/>
      <c r="F134" s="81">
        <f t="shared" ref="F134" si="99">SUM(G134:AD134)</f>
        <v>0</v>
      </c>
      <c r="G134" s="79"/>
      <c r="H134" s="80"/>
      <c r="I134" s="80"/>
      <c r="J134" s="79"/>
      <c r="K134" s="79"/>
      <c r="L134" s="80"/>
      <c r="M134" s="80"/>
      <c r="N134" s="80"/>
      <c r="O134" s="117"/>
      <c r="P134" s="86"/>
      <c r="Q134" s="86"/>
      <c r="R134" s="86"/>
      <c r="S134" s="87"/>
      <c r="T134" s="87"/>
      <c r="U134" s="87"/>
      <c r="V134" s="87"/>
      <c r="W134" s="87"/>
      <c r="X134" s="87"/>
      <c r="Y134" s="87"/>
      <c r="Z134" s="87"/>
      <c r="AA134" s="87"/>
      <c r="AB134" s="87"/>
      <c r="AC134" s="87"/>
      <c r="AD134" s="87"/>
      <c r="AE134" s="81">
        <v>18</v>
      </c>
      <c r="AM134" s="12"/>
      <c r="AN134" s="95"/>
      <c r="AO134" s="144"/>
      <c r="AP134" s="144"/>
      <c r="AQ134" s="11"/>
      <c r="AR134" s="11"/>
    </row>
    <row r="135" spans="1:44" ht="19.5" thickBot="1">
      <c r="A135" s="141" t="s">
        <v>69</v>
      </c>
      <c r="B135" s="142"/>
      <c r="C135" s="142"/>
      <c r="D135" s="142"/>
      <c r="E135" s="142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3"/>
    </row>
    <row r="136" spans="1:44" s="4" customFormat="1" ht="56.25">
      <c r="A136" s="82">
        <v>23</v>
      </c>
      <c r="B136" s="83" t="s">
        <v>33</v>
      </c>
      <c r="C136" s="64">
        <f t="shared" ref="C136" si="100">SUM(D136:F138)</f>
        <v>48</v>
      </c>
      <c r="D136" s="65">
        <f t="shared" ref="D136" si="101">SUM(G136:AD136)</f>
        <v>24</v>
      </c>
      <c r="E136" s="65"/>
      <c r="F136" s="66"/>
      <c r="G136" s="67">
        <v>4</v>
      </c>
      <c r="H136" s="67">
        <v>4</v>
      </c>
      <c r="I136" s="67">
        <v>4</v>
      </c>
      <c r="J136" s="67">
        <v>4</v>
      </c>
      <c r="K136" s="67">
        <v>4</v>
      </c>
      <c r="L136" s="67">
        <v>4</v>
      </c>
      <c r="M136" s="65"/>
      <c r="N136" s="65"/>
      <c r="O136" s="65"/>
      <c r="P136" s="65"/>
      <c r="Q136" s="64"/>
      <c r="R136" s="64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6" t="s">
        <v>60</v>
      </c>
    </row>
    <row r="137" spans="1:44" s="4" customFormat="1">
      <c r="A137" s="84"/>
      <c r="B137" s="85"/>
      <c r="C137" s="71"/>
      <c r="D137" s="72"/>
      <c r="E137" s="72">
        <f t="shared" ref="E137" si="102">SUM(G137:AD137)</f>
        <v>24</v>
      </c>
      <c r="F137" s="73"/>
      <c r="G137" s="71">
        <v>4</v>
      </c>
      <c r="H137" s="71">
        <v>4</v>
      </c>
      <c r="I137" s="71">
        <v>4</v>
      </c>
      <c r="J137" s="71">
        <v>4</v>
      </c>
      <c r="K137" s="71">
        <v>4</v>
      </c>
      <c r="L137" s="71">
        <v>4</v>
      </c>
      <c r="M137" s="72"/>
      <c r="N137" s="72"/>
      <c r="O137" s="72"/>
      <c r="P137" s="72"/>
      <c r="Q137" s="71"/>
      <c r="R137" s="71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6"/>
    </row>
    <row r="138" spans="1:44" s="4" customFormat="1" ht="21.75" customHeight="1" thickBot="1">
      <c r="A138" s="84"/>
      <c r="B138" s="85"/>
      <c r="C138" s="79"/>
      <c r="D138" s="80"/>
      <c r="E138" s="80"/>
      <c r="F138" s="81">
        <f t="shared" ref="F138" si="103">SUM(G138:AD138)</f>
        <v>0</v>
      </c>
      <c r="G138" s="79"/>
      <c r="H138" s="80"/>
      <c r="I138" s="80"/>
      <c r="J138" s="79"/>
      <c r="K138" s="79"/>
      <c r="L138" s="80"/>
      <c r="M138" s="72"/>
      <c r="N138" s="72"/>
      <c r="O138" s="72"/>
      <c r="P138" s="72"/>
      <c r="Q138" s="71"/>
      <c r="R138" s="71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81">
        <v>18</v>
      </c>
      <c r="AM138" s="11"/>
      <c r="AN138" s="11"/>
      <c r="AO138" s="11"/>
      <c r="AP138" s="11"/>
      <c r="AQ138" s="11"/>
      <c r="AR138" s="11"/>
    </row>
  </sheetData>
  <mergeCells count="108">
    <mergeCell ref="A71:AE71"/>
    <mergeCell ref="A31:AE31"/>
    <mergeCell ref="AO33:AP33"/>
    <mergeCell ref="AO34:AP34"/>
    <mergeCell ref="AO36:AP36"/>
    <mergeCell ref="AO37:AP37"/>
    <mergeCell ref="S32:T37"/>
    <mergeCell ref="AO43:AP43"/>
    <mergeCell ref="AO44:AP44"/>
    <mergeCell ref="A45:AE45"/>
    <mergeCell ref="A55:AE55"/>
    <mergeCell ref="A59:AE59"/>
    <mergeCell ref="AO50:AP50"/>
    <mergeCell ref="AO45:AP45"/>
    <mergeCell ref="AF47:AK47"/>
    <mergeCell ref="AO48:AP48"/>
    <mergeCell ref="AF49:AK49"/>
    <mergeCell ref="AO47:AP47"/>
    <mergeCell ref="A67:AE67"/>
    <mergeCell ref="AO80:AP80"/>
    <mergeCell ref="AO54:AP54"/>
    <mergeCell ref="AO58:AP58"/>
    <mergeCell ref="AO74:AP74"/>
    <mergeCell ref="AO76:AP76"/>
    <mergeCell ref="AO77:AP77"/>
    <mergeCell ref="AO79:AP79"/>
    <mergeCell ref="AO51:AP51"/>
    <mergeCell ref="AO55:AP55"/>
    <mergeCell ref="AO59:AP59"/>
    <mergeCell ref="AO53:AP53"/>
    <mergeCell ref="AO57:AP57"/>
    <mergeCell ref="AO73:AP73"/>
    <mergeCell ref="AO41:AP41"/>
    <mergeCell ref="A3:C3"/>
    <mergeCell ref="G5:H5"/>
    <mergeCell ref="AO22:AP22"/>
    <mergeCell ref="L13:AO13"/>
    <mergeCell ref="A14:AE14"/>
    <mergeCell ref="A26:AE26"/>
    <mergeCell ref="A30:AE30"/>
    <mergeCell ref="A38:AE38"/>
    <mergeCell ref="AO40:AP40"/>
    <mergeCell ref="AO26:AP26"/>
    <mergeCell ref="AO30:AP30"/>
    <mergeCell ref="AO38:AP38"/>
    <mergeCell ref="AO29:AP29"/>
    <mergeCell ref="A15:AE15"/>
    <mergeCell ref="A19:AE19"/>
    <mergeCell ref="AO19:AP19"/>
    <mergeCell ref="AO28:AP28"/>
    <mergeCell ref="AO17:AP17"/>
    <mergeCell ref="AO18:AP18"/>
    <mergeCell ref="AO21:AP21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O99:AP99"/>
    <mergeCell ref="AO100:AP100"/>
    <mergeCell ref="A97:AE97"/>
    <mergeCell ref="AO103:AP103"/>
    <mergeCell ref="AO104:AP104"/>
    <mergeCell ref="A101:AE101"/>
    <mergeCell ref="AO107:AP107"/>
    <mergeCell ref="AO82:AP82"/>
    <mergeCell ref="AO83:AP83"/>
    <mergeCell ref="A84:AE84"/>
    <mergeCell ref="AO86:AP86"/>
    <mergeCell ref="AO87:AP87"/>
    <mergeCell ref="AO89:AP89"/>
    <mergeCell ref="AO90:AP90"/>
    <mergeCell ref="AO92:AP92"/>
    <mergeCell ref="AO93:AP93"/>
    <mergeCell ref="A135:AE135"/>
    <mergeCell ref="AO126:AP126"/>
    <mergeCell ref="AO127:AP127"/>
    <mergeCell ref="A121:AE121"/>
    <mergeCell ref="AO133:AP133"/>
    <mergeCell ref="AO134:AP134"/>
    <mergeCell ref="A128:AE128"/>
    <mergeCell ref="A60:AE60"/>
    <mergeCell ref="AO62:AP62"/>
    <mergeCell ref="AO63:AP63"/>
    <mergeCell ref="AO65:AP65"/>
    <mergeCell ref="AO66:AP66"/>
    <mergeCell ref="N61:Y66"/>
    <mergeCell ref="AO108:AP108"/>
    <mergeCell ref="A105:AE105"/>
    <mergeCell ref="AO111:AP111"/>
    <mergeCell ref="AO112:AP112"/>
    <mergeCell ref="A109:AE109"/>
    <mergeCell ref="AO116:AP116"/>
    <mergeCell ref="AO117:AP117"/>
    <mergeCell ref="A113:AE113"/>
    <mergeCell ref="A114:AE114"/>
    <mergeCell ref="AO95:AP95"/>
    <mergeCell ref="AO96:AP96"/>
  </mergeCells>
  <conditionalFormatting sqref="A120">
    <cfRule type="expression" dxfId="26" priority="27" stopIfTrue="1">
      <formula>$DB116=1</formula>
    </cfRule>
  </conditionalFormatting>
  <conditionalFormatting sqref="A120:B120">
    <cfRule type="expression" dxfId="25" priority="25" stopIfTrue="1">
      <formula>$CV116&gt;0</formula>
    </cfRule>
    <cfRule type="expression" dxfId="24" priority="26" stopIfTrue="1">
      <formula>$CU116&gt;0</formula>
    </cfRule>
  </conditionalFormatting>
  <conditionalFormatting sqref="A120">
    <cfRule type="expression" dxfId="23" priority="24" stopIfTrue="1">
      <formula>$DB116=1</formula>
    </cfRule>
  </conditionalFormatting>
  <conditionalFormatting sqref="A120:B120">
    <cfRule type="expression" dxfId="22" priority="22" stopIfTrue="1">
      <formula>$CV116&gt;0</formula>
    </cfRule>
    <cfRule type="expression" dxfId="21" priority="23" stopIfTrue="1">
      <formula>$CU116&gt;0</formula>
    </cfRule>
  </conditionalFormatting>
  <conditionalFormatting sqref="A120">
    <cfRule type="expression" dxfId="20" priority="21" stopIfTrue="1">
      <formula>$DC116=1</formula>
    </cfRule>
  </conditionalFormatting>
  <conditionalFormatting sqref="A120:B120">
    <cfRule type="expression" dxfId="19" priority="19" stopIfTrue="1">
      <formula>$CW116&gt;0</formula>
    </cfRule>
    <cfRule type="expression" dxfId="18" priority="20" stopIfTrue="1">
      <formula>$CV116&gt;0</formula>
    </cfRule>
  </conditionalFormatting>
  <conditionalFormatting sqref="A124">
    <cfRule type="expression" dxfId="17" priority="18" stopIfTrue="1">
      <formula>$DB120=1</formula>
    </cfRule>
  </conditionalFormatting>
  <conditionalFormatting sqref="A124:B124">
    <cfRule type="expression" dxfId="16" priority="16" stopIfTrue="1">
      <formula>$CV120&gt;0</formula>
    </cfRule>
    <cfRule type="expression" dxfId="15" priority="17" stopIfTrue="1">
      <formula>$CU120&gt;0</formula>
    </cfRule>
  </conditionalFormatting>
  <conditionalFormatting sqref="A124">
    <cfRule type="expression" dxfId="14" priority="15" stopIfTrue="1">
      <formula>$DB120=1</formula>
    </cfRule>
  </conditionalFormatting>
  <conditionalFormatting sqref="A124:B124">
    <cfRule type="expression" dxfId="13" priority="13" stopIfTrue="1">
      <formula>$CV120&gt;0</formula>
    </cfRule>
    <cfRule type="expression" dxfId="12" priority="14" stopIfTrue="1">
      <formula>$CU120&gt;0</formula>
    </cfRule>
  </conditionalFormatting>
  <conditionalFormatting sqref="A124">
    <cfRule type="expression" dxfId="11" priority="12" stopIfTrue="1">
      <formula>$DC120=1</formula>
    </cfRule>
  </conditionalFormatting>
  <conditionalFormatting sqref="A124:B124">
    <cfRule type="expression" dxfId="10" priority="10" stopIfTrue="1">
      <formula>$CW120&gt;0</formula>
    </cfRule>
    <cfRule type="expression" dxfId="9" priority="11" stopIfTrue="1">
      <formula>$CV120&gt;0</formula>
    </cfRule>
  </conditionalFormatting>
  <conditionalFormatting sqref="A131">
    <cfRule type="expression" dxfId="8" priority="9" stopIfTrue="1">
      <formula>$DB127=1</formula>
    </cfRule>
  </conditionalFormatting>
  <conditionalFormatting sqref="A131:B131">
    <cfRule type="expression" dxfId="7" priority="7" stopIfTrue="1">
      <formula>$CV127&gt;0</formula>
    </cfRule>
    <cfRule type="expression" dxfId="6" priority="8" stopIfTrue="1">
      <formula>$CU127&gt;0</formula>
    </cfRule>
  </conditionalFormatting>
  <conditionalFormatting sqref="A131">
    <cfRule type="expression" dxfId="5" priority="6" stopIfTrue="1">
      <formula>$DB127=1</formula>
    </cfRule>
  </conditionalFormatting>
  <conditionalFormatting sqref="A131:B131">
    <cfRule type="expression" dxfId="4" priority="4" stopIfTrue="1">
      <formula>$CV127&gt;0</formula>
    </cfRule>
    <cfRule type="expression" dxfId="3" priority="5" stopIfTrue="1">
      <formula>$CU127&gt;0</formula>
    </cfRule>
  </conditionalFormatting>
  <conditionalFormatting sqref="A131">
    <cfRule type="expression" dxfId="2" priority="3" stopIfTrue="1">
      <formula>$DC127=1</formula>
    </cfRule>
  </conditionalFormatting>
  <conditionalFormatting sqref="A131:B131">
    <cfRule type="expression" dxfId="1" priority="1" stopIfTrue="1">
      <formula>$CW127&gt;0</formula>
    </cfRule>
    <cfRule type="expression" dxfId="0" priority="2" stopIfTrue="1">
      <formula>$CV127&gt;0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2021-10-27T11:31:39Z</dcterms:modified>
</cp:coreProperties>
</file>