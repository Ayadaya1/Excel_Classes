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0" yWindow="0" windowWidth="25200" windowHeight="11385"/>
  </bookViews>
  <sheets>
    <sheet name="Лист1" sheetId="1" r:id="rId1"/>
    <sheet name="Лист2" sheetId="2" r:id="rId2"/>
    <sheet name="Лист3" sheetId="3" r:id="rId3"/>
  </sheets>
  <definedNames>
    <definedName name="_xlnm.Print_Titles" localSheetId="0">Лист1!$5:$12</definedName>
  </definedNames>
  <calcPr calcId="125725" refMode="R1C1"/>
</workbook>
</file>

<file path=xl/calcChain.xml><?xml version="1.0" encoding="utf-8"?>
<calcChain xmlns="http://schemas.openxmlformats.org/spreadsheetml/2006/main">
  <c r="F76" i="1"/>
  <c r="C74" s="1"/>
  <c r="E75"/>
  <c r="D74"/>
  <c r="F63"/>
  <c r="E62"/>
  <c r="C61" s="1"/>
  <c r="D61"/>
  <c r="F60"/>
  <c r="E59"/>
  <c r="C58" s="1"/>
  <c r="D58"/>
  <c r="F31"/>
  <c r="E30"/>
  <c r="D29"/>
  <c r="C29" s="1"/>
  <c r="F22"/>
  <c r="E21"/>
  <c r="D20"/>
  <c r="C20" s="1"/>
  <c r="F18"/>
  <c r="E17"/>
  <c r="D16"/>
  <c r="C16"/>
  <c r="F71" l="1"/>
  <c r="E70"/>
  <c r="D69"/>
  <c r="C69" l="1"/>
  <c r="F67" l="1"/>
  <c r="E66"/>
  <c r="D65"/>
  <c r="C65"/>
  <c r="F55" l="1"/>
  <c r="E54"/>
  <c r="D53"/>
  <c r="C53" l="1"/>
  <c r="F51"/>
  <c r="E50"/>
  <c r="D49"/>
  <c r="C49" l="1"/>
  <c r="F47"/>
  <c r="E46"/>
  <c r="D45"/>
  <c r="C45" s="1"/>
  <c r="F43" l="1"/>
  <c r="E42"/>
  <c r="D41"/>
  <c r="C41" s="1"/>
  <c r="F39" l="1"/>
  <c r="E38"/>
  <c r="D37"/>
  <c r="C37" l="1"/>
  <c r="F35"/>
  <c r="E34"/>
  <c r="D33"/>
  <c r="C33" l="1"/>
  <c r="F26"/>
  <c r="E25"/>
  <c r="D24"/>
  <c r="C24" l="1"/>
</calcChain>
</file>

<file path=xl/sharedStrings.xml><?xml version="1.0" encoding="utf-8"?>
<sst xmlns="http://schemas.openxmlformats.org/spreadsheetml/2006/main" count="70" uniqueCount="51">
  <si>
    <t>Наименование дисциплины</t>
  </si>
  <si>
    <t>№ кафедры</t>
  </si>
  <si>
    <t>Всего</t>
  </si>
  <si>
    <t>в т.ч</t>
  </si>
  <si>
    <t>Количество аудиторных часов</t>
  </si>
  <si>
    <t>Выходной контроль</t>
  </si>
  <si>
    <t>лекции</t>
  </si>
  <si>
    <t>практики</t>
  </si>
  <si>
    <t>лабораторные работы</t>
  </si>
  <si>
    <t>Январь</t>
  </si>
  <si>
    <t xml:space="preserve">  Ф е в р а л ь   </t>
  </si>
  <si>
    <t xml:space="preserve">            М а р т            </t>
  </si>
  <si>
    <t xml:space="preserve"> А п р е л ь</t>
  </si>
  <si>
    <t>М а й</t>
  </si>
  <si>
    <t>И ю н ь</t>
  </si>
  <si>
    <t xml:space="preserve">                     Учебная сетка</t>
  </si>
  <si>
    <t xml:space="preserve">                     Весенний семестр  2021/2022 учебный год</t>
  </si>
  <si>
    <t xml:space="preserve">                                            Кафедра № 22</t>
  </si>
  <si>
    <t>Дисциплины кафедры № 22</t>
  </si>
  <si>
    <t xml:space="preserve">Теория транспортных систем </t>
  </si>
  <si>
    <t>Экзамен</t>
  </si>
  <si>
    <t xml:space="preserve">                                       Дисциплины 306 (ООТБ)</t>
  </si>
  <si>
    <t xml:space="preserve">               2 КУРС</t>
  </si>
  <si>
    <t xml:space="preserve">               3 КУРС</t>
  </si>
  <si>
    <t>Управление транспортными системами</t>
  </si>
  <si>
    <t xml:space="preserve">                                       Дисциплины 291, 292 (ОПУВТ)</t>
  </si>
  <si>
    <t xml:space="preserve">                                       Дисциплины 293, 294 (ОрАД)</t>
  </si>
  <si>
    <t>Организация воздушного движения</t>
  </si>
  <si>
    <t xml:space="preserve">                                       Дисциплины 391 (АСУВД)</t>
  </si>
  <si>
    <t>Моделирование транспортных процессов</t>
  </si>
  <si>
    <t xml:space="preserve">Экзамен </t>
  </si>
  <si>
    <t xml:space="preserve">                                       Дисциплины 397 (БТПП)</t>
  </si>
  <si>
    <t>Дифф.зачет</t>
  </si>
  <si>
    <t>Факультатив</t>
  </si>
  <si>
    <t xml:space="preserve">                                       Дисциплины 393 (ОАБ)</t>
  </si>
  <si>
    <t>Зачет</t>
  </si>
  <si>
    <t xml:space="preserve">                                       Дисциплины 396 (ООТБ)</t>
  </si>
  <si>
    <t xml:space="preserve">               4 КУРС</t>
  </si>
  <si>
    <t xml:space="preserve">                                       Дисциплины 283, 284 (ОрАД)</t>
  </si>
  <si>
    <t xml:space="preserve">                                       Дисциплины 382, 382а (ТЛ)</t>
  </si>
  <si>
    <t>Теория транспортных систем</t>
  </si>
  <si>
    <t>Дисциплины  105,106,107,107а (ИВП)</t>
  </si>
  <si>
    <t>Дисциплины  108,109 (ОрАНО)</t>
  </si>
  <si>
    <t>Проектирование воздушного пространства</t>
  </si>
  <si>
    <t>Дисциплины  195,196,197,197а (ИВП)</t>
  </si>
  <si>
    <t>Теория управления воздушным движением</t>
  </si>
  <si>
    <t>КР</t>
  </si>
  <si>
    <t>Дисциплины   185,186,187,187а  (ИВП)</t>
  </si>
  <si>
    <t xml:space="preserve">               5 КУРС</t>
  </si>
  <si>
    <t>Прикладные методы оптимизации процессов в системе организации воздушного движения</t>
  </si>
  <si>
    <t>Дисциплины  175,176,177,177а (ИВП)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</si>
</sst>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charset val="204"/>
      <scheme val="minor"/>
    </font>
    <font>
      <sz val="8"/>
      <color indexed="8"/>
      <name val="Tahoma"/>
      <family val="2"/>
      <charset val="204"/>
    </font>
    <font>
      <b/>
      <sz val="14"/>
      <name val="Times New Roman"/>
      <family val="1"/>
      <charset val="204"/>
    </font>
    <font>
      <sz val="14"/>
      <name val="Times New Roman"/>
      <family val="1"/>
      <charset val="204"/>
    </font>
    <font>
      <b/>
      <i/>
      <sz val="14"/>
      <name val="Times New Roman"/>
      <family val="1"/>
      <charset val="204"/>
    </font>
    <font>
      <sz val="12"/>
      <name val="Times New Roman"/>
      <family val="1"/>
      <charset val="204"/>
    </font>
    <font>
      <b/>
      <i/>
      <sz val="14"/>
      <color theme="1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3.5"/>
      <name val="Times New Roman"/>
      <family val="1"/>
      <charset val="204"/>
    </font>
    <font>
      <b/>
      <sz val="13.5"/>
      <name val="Times New Roman Cyr"/>
      <family val="1"/>
      <charset val="204"/>
    </font>
    <font>
      <sz val="13.5"/>
      <name val="Times New Roman Cyr"/>
      <charset val="204"/>
    </font>
    <font>
      <sz val="9"/>
      <color indexed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47">
    <xf numFmtId="0" fontId="0" fillId="0" borderId="0" xfId="0"/>
    <xf numFmtId="0" fontId="3" fillId="0" borderId="0" xfId="0" applyFont="1" applyAlignment="1">
      <alignment wrapText="1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3" fillId="0" borderId="0" xfId="0" applyFont="1" applyFill="1" applyAlignment="1">
      <alignment wrapText="1"/>
    </xf>
    <xf numFmtId="0" fontId="10" fillId="2" borderId="35" xfId="0" applyFont="1" applyFill="1" applyBorder="1" applyAlignment="1">
      <alignment horizontal="center" vertical="center"/>
    </xf>
    <xf numFmtId="0" fontId="10" fillId="2" borderId="25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10" fillId="2" borderId="36" xfId="0" applyFont="1" applyFill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/>
    </xf>
    <xf numFmtId="0" fontId="10" fillId="2" borderId="26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wrapText="1"/>
    </xf>
    <xf numFmtId="49" fontId="11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0" fillId="0" borderId="24" xfId="0" applyFont="1" applyFill="1" applyBorder="1" applyAlignment="1">
      <alignment horizontal="center" vertical="center"/>
    </xf>
    <xf numFmtId="0" fontId="9" fillId="3" borderId="38" xfId="0" applyFont="1" applyFill="1" applyBorder="1" applyAlignment="1">
      <alignment horizontal="center" vertical="center"/>
    </xf>
    <xf numFmtId="0" fontId="9" fillId="3" borderId="39" xfId="0" applyFont="1" applyFill="1" applyBorder="1" applyAlignment="1">
      <alignment horizontal="center" vertical="center"/>
    </xf>
    <xf numFmtId="0" fontId="9" fillId="3" borderId="5" xfId="0" applyFont="1" applyFill="1" applyBorder="1" applyAlignment="1">
      <alignment horizontal="center" vertical="center"/>
    </xf>
    <xf numFmtId="0" fontId="9" fillId="3" borderId="31" xfId="0" applyFont="1" applyFill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0" fontId="9" fillId="3" borderId="30" xfId="0" applyFont="1" applyFill="1" applyBorder="1" applyAlignment="1">
      <alignment horizontal="center" vertical="center"/>
    </xf>
    <xf numFmtId="0" fontId="9" fillId="3" borderId="8" xfId="0" applyFont="1" applyFill="1" applyBorder="1" applyAlignment="1">
      <alignment horizontal="center" vertical="center"/>
    </xf>
    <xf numFmtId="0" fontId="9" fillId="3" borderId="13" xfId="0" applyFont="1" applyFill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3" borderId="26" xfId="0" applyFont="1" applyFill="1" applyBorder="1" applyAlignment="1">
      <alignment horizontal="center" vertical="center"/>
    </xf>
    <xf numFmtId="0" fontId="9" fillId="3" borderId="40" xfId="0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" borderId="41" xfId="0" applyFont="1" applyFill="1" applyBorder="1" applyAlignment="1">
      <alignment horizontal="center" vertical="center"/>
    </xf>
    <xf numFmtId="0" fontId="9" fillId="3" borderId="42" xfId="0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0" fontId="9" fillId="3" borderId="33" xfId="0" applyFont="1" applyFill="1" applyBorder="1" applyAlignment="1">
      <alignment horizontal="center" vertical="center"/>
    </xf>
    <xf numFmtId="0" fontId="9" fillId="3" borderId="32" xfId="0" applyFont="1" applyFill="1" applyBorder="1" applyAlignment="1">
      <alignment horizontal="center" vertical="center"/>
    </xf>
    <xf numFmtId="0" fontId="9" fillId="3" borderId="16" xfId="0" applyFont="1" applyFill="1" applyBorder="1" applyAlignment="1">
      <alignment horizontal="center" vertical="center"/>
    </xf>
    <xf numFmtId="0" fontId="9" fillId="3" borderId="15" xfId="0" applyFont="1" applyFill="1" applyBorder="1" applyAlignment="1">
      <alignment horizontal="center" vertical="center"/>
    </xf>
    <xf numFmtId="0" fontId="9" fillId="3" borderId="18" xfId="0" applyFont="1" applyFill="1" applyBorder="1" applyAlignment="1">
      <alignment horizontal="center" vertical="center"/>
    </xf>
    <xf numFmtId="0" fontId="9" fillId="3" borderId="37" xfId="0" applyFont="1" applyFill="1" applyBorder="1" applyAlignment="1">
      <alignment horizontal="center" vertical="center"/>
    </xf>
    <xf numFmtId="0" fontId="10" fillId="2" borderId="14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  <xf numFmtId="0" fontId="10" fillId="0" borderId="26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9" fillId="3" borderId="46" xfId="0" applyFont="1" applyFill="1" applyBorder="1" applyAlignment="1">
      <alignment horizontal="center" vertical="center"/>
    </xf>
    <xf numFmtId="0" fontId="9" fillId="3" borderId="47" xfId="0" applyFont="1" applyFill="1" applyBorder="1" applyAlignment="1">
      <alignment horizontal="center" vertical="center"/>
    </xf>
    <xf numFmtId="0" fontId="9" fillId="3" borderId="45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/>
    </xf>
    <xf numFmtId="0" fontId="9" fillId="4" borderId="3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9" fillId="2" borderId="21" xfId="0" applyFont="1" applyFill="1" applyBorder="1" applyAlignment="1">
      <alignment vertical="center"/>
    </xf>
    <xf numFmtId="0" fontId="9" fillId="2" borderId="22" xfId="0" applyFont="1" applyFill="1" applyBorder="1" applyAlignment="1">
      <alignment vertical="center"/>
    </xf>
    <xf numFmtId="0" fontId="9" fillId="2" borderId="23" xfId="0" applyFont="1" applyFill="1" applyBorder="1" applyAlignment="1">
      <alignment vertical="center"/>
    </xf>
    <xf numFmtId="0" fontId="9" fillId="3" borderId="0" xfId="0" applyFont="1" applyFill="1" applyBorder="1" applyAlignment="1">
      <alignment horizontal="center" vertical="center"/>
    </xf>
    <xf numFmtId="0" fontId="9" fillId="3" borderId="44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3" borderId="17" xfId="0" applyFont="1" applyFill="1" applyBorder="1" applyAlignment="1">
      <alignment horizontal="center" vertical="center"/>
    </xf>
    <xf numFmtId="0" fontId="9" fillId="3" borderId="14" xfId="0" applyFont="1" applyFill="1" applyBorder="1" applyAlignment="1">
      <alignment horizontal="center" vertical="center"/>
    </xf>
    <xf numFmtId="0" fontId="9" fillId="4" borderId="6" xfId="0" applyFont="1" applyFill="1" applyBorder="1" applyAlignment="1">
      <alignment horizontal="center" vertical="center"/>
    </xf>
    <xf numFmtId="0" fontId="9" fillId="2" borderId="48" xfId="0" applyFont="1" applyFill="1" applyBorder="1" applyAlignment="1">
      <alignment horizontal="center" vertical="center"/>
    </xf>
    <xf numFmtId="0" fontId="4" fillId="3" borderId="8" xfId="0" applyFont="1" applyFill="1" applyBorder="1" applyAlignment="1" applyProtection="1">
      <alignment horizontal="center" vertical="center" wrapText="1" shrinkToFit="1"/>
    </xf>
    <xf numFmtId="49" fontId="3" fillId="3" borderId="7" xfId="0" applyNumberFormat="1" applyFont="1" applyFill="1" applyBorder="1" applyAlignment="1" applyProtection="1">
      <alignment horizontal="left" vertical="top" wrapText="1"/>
    </xf>
    <xf numFmtId="0" fontId="3" fillId="3" borderId="13" xfId="0" applyFont="1" applyFill="1" applyBorder="1" applyAlignment="1">
      <alignment horizontal="center"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3" fillId="3" borderId="7" xfId="0" applyFont="1" applyFill="1" applyBorder="1" applyAlignment="1">
      <alignment horizontal="center" vertical="center" wrapText="1"/>
    </xf>
    <xf numFmtId="0" fontId="3" fillId="3" borderId="49" xfId="0" applyFont="1" applyFill="1" applyBorder="1" applyAlignment="1">
      <alignment horizontal="center" vertical="center" wrapText="1"/>
    </xf>
    <xf numFmtId="0" fontId="3" fillId="3" borderId="50" xfId="0" applyFont="1" applyFill="1" applyBorder="1" applyAlignment="1">
      <alignment horizontal="center" vertical="center" wrapText="1"/>
    </xf>
    <xf numFmtId="1" fontId="4" fillId="3" borderId="9" xfId="0" applyNumberFormat="1" applyFont="1" applyFill="1" applyBorder="1" applyAlignment="1" applyProtection="1">
      <alignment horizontal="center" vertical="center" wrapText="1" shrinkToFit="1"/>
    </xf>
    <xf numFmtId="49" fontId="3" fillId="3" borderId="10" xfId="0" applyNumberFormat="1" applyFont="1" applyFill="1" applyBorder="1" applyAlignment="1" applyProtection="1">
      <alignment horizontal="left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3" fillId="3" borderId="10" xfId="0" applyFont="1" applyFill="1" applyBorder="1" applyAlignment="1">
      <alignment horizontal="center" vertical="center" wrapText="1"/>
    </xf>
    <xf numFmtId="0" fontId="3" fillId="3" borderId="5" xfId="0" applyFont="1" applyFill="1" applyBorder="1" applyAlignment="1">
      <alignment horizontal="center" vertical="center" wrapText="1"/>
    </xf>
    <xf numFmtId="0" fontId="3" fillId="3" borderId="31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4" fillId="3" borderId="15" xfId="0" applyFont="1" applyFill="1" applyBorder="1" applyAlignment="1" applyProtection="1">
      <alignment horizontal="center" vertical="center" wrapText="1" shrinkToFit="1"/>
    </xf>
    <xf numFmtId="49" fontId="3" fillId="3" borderId="16" xfId="0" applyNumberFormat="1" applyFont="1" applyFill="1" applyBorder="1" applyAlignment="1" applyProtection="1">
      <alignment horizontal="left" vertical="center" wrapText="1"/>
    </xf>
    <xf numFmtId="0" fontId="3" fillId="3" borderId="14" xfId="0" applyFont="1" applyFill="1" applyBorder="1" applyAlignment="1">
      <alignment horizontal="center" vertical="center" wrapText="1"/>
    </xf>
    <xf numFmtId="0" fontId="3" fillId="3" borderId="11" xfId="0" applyFont="1" applyFill="1" applyBorder="1" applyAlignment="1">
      <alignment horizontal="center" vertical="center" wrapText="1"/>
    </xf>
    <xf numFmtId="0" fontId="3" fillId="3" borderId="12" xfId="0" applyFont="1" applyFill="1" applyBorder="1" applyAlignment="1">
      <alignment horizontal="center" vertical="center" wrapText="1"/>
    </xf>
    <xf numFmtId="1" fontId="6" fillId="3" borderId="8" xfId="0" applyNumberFormat="1" applyFont="1" applyFill="1" applyBorder="1" applyAlignment="1" applyProtection="1">
      <alignment horizontal="center" vertical="center" wrapText="1" shrinkToFit="1"/>
    </xf>
    <xf numFmtId="49" fontId="7" fillId="3" borderId="7" xfId="0" applyNumberFormat="1" applyFont="1" applyFill="1" applyBorder="1" applyAlignment="1" applyProtection="1">
      <alignment horizontal="left" vertical="top" wrapText="1"/>
    </xf>
    <xf numFmtId="0" fontId="7" fillId="3" borderId="9" xfId="0" applyFont="1" applyFill="1" applyBorder="1" applyAlignment="1">
      <alignment horizontal="center" vertical="center" wrapText="1"/>
    </xf>
    <xf numFmtId="0" fontId="7" fillId="3" borderId="10" xfId="0" applyFont="1" applyFill="1" applyBorder="1" applyAlignment="1">
      <alignment wrapText="1"/>
    </xf>
    <xf numFmtId="0" fontId="3" fillId="3" borderId="37" xfId="0" applyFont="1" applyFill="1" applyBorder="1" applyAlignment="1">
      <alignment horizontal="center" vertical="center" wrapText="1"/>
    </xf>
    <xf numFmtId="0" fontId="3" fillId="3" borderId="18" xfId="0" applyFont="1" applyFill="1" applyBorder="1" applyAlignment="1">
      <alignment horizontal="center" vertical="center" wrapText="1"/>
    </xf>
    <xf numFmtId="0" fontId="7" fillId="3" borderId="43" xfId="0" applyFont="1" applyFill="1" applyBorder="1" applyAlignment="1">
      <alignment horizontal="center" vertical="center" wrapText="1"/>
    </xf>
    <xf numFmtId="0" fontId="7" fillId="3" borderId="16" xfId="0" applyFont="1" applyFill="1" applyBorder="1" applyAlignment="1">
      <alignment wrapText="1"/>
    </xf>
    <xf numFmtId="0" fontId="3" fillId="3" borderId="41" xfId="0" applyFont="1" applyFill="1" applyBorder="1" applyAlignment="1">
      <alignment horizontal="center" vertical="center" wrapText="1"/>
    </xf>
    <xf numFmtId="0" fontId="3" fillId="3" borderId="9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17" xfId="0" applyFont="1" applyFill="1" applyBorder="1" applyAlignment="1">
      <alignment wrapText="1"/>
    </xf>
    <xf numFmtId="0" fontId="2" fillId="0" borderId="0" xfId="0" applyFont="1" applyFill="1" applyBorder="1" applyAlignment="1">
      <alignment wrapText="1"/>
    </xf>
    <xf numFmtId="49" fontId="1" fillId="0" borderId="0" xfId="1" applyNumberFormat="1" applyFont="1" applyFill="1" applyBorder="1" applyAlignment="1">
      <alignment horizontal="left" vertical="center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7" fillId="3" borderId="15" xfId="0" applyFont="1" applyFill="1" applyBorder="1" applyAlignment="1">
      <alignment horizontal="center" vertical="center" wrapText="1"/>
    </xf>
    <xf numFmtId="0" fontId="6" fillId="3" borderId="10" xfId="0" applyFont="1" applyFill="1" applyBorder="1" applyAlignment="1">
      <alignment wrapText="1"/>
    </xf>
    <xf numFmtId="0" fontId="3" fillId="0" borderId="0" xfId="0" applyFont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3" fillId="3" borderId="32" xfId="0" applyFont="1" applyFill="1" applyBorder="1" applyAlignment="1">
      <alignment horizontal="center" vertical="center" wrapText="1"/>
    </xf>
    <xf numFmtId="0" fontId="3" fillId="3" borderId="39" xfId="0" applyFont="1" applyFill="1" applyBorder="1" applyAlignment="1">
      <alignment horizontal="center" vertical="center" wrapText="1"/>
    </xf>
    <xf numFmtId="0" fontId="3" fillId="3" borderId="33" xfId="0" applyFont="1" applyFill="1" applyBorder="1" applyAlignment="1">
      <alignment horizontal="center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49" fontId="11" fillId="0" borderId="0" xfId="1" applyNumberFormat="1" applyFont="1" applyFill="1" applyBorder="1" applyAlignment="1">
      <alignment horizontal="left" vertical="center" wrapText="1"/>
    </xf>
    <xf numFmtId="0" fontId="2" fillId="0" borderId="21" xfId="0" applyFont="1" applyFill="1" applyBorder="1" applyAlignment="1">
      <alignment horizontal="center" wrapText="1"/>
    </xf>
    <xf numFmtId="0" fontId="2" fillId="0" borderId="22" xfId="0" applyFont="1" applyFill="1" applyBorder="1" applyAlignment="1">
      <alignment horizontal="center" wrapText="1"/>
    </xf>
    <xf numFmtId="0" fontId="2" fillId="0" borderId="23" xfId="0" applyFont="1" applyFill="1" applyBorder="1" applyAlignment="1">
      <alignment horizontal="center" wrapText="1"/>
    </xf>
    <xf numFmtId="0" fontId="2" fillId="0" borderId="4" xfId="0" applyFont="1" applyFill="1" applyBorder="1" applyAlignment="1">
      <alignment horizontal="center" wrapText="1"/>
    </xf>
    <xf numFmtId="0" fontId="2" fillId="0" borderId="0" xfId="0" applyFont="1" applyFill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8" fillId="0" borderId="17" xfId="0" applyFont="1" applyFill="1" applyBorder="1" applyAlignment="1">
      <alignment horizontal="center" vertical="center" wrapText="1"/>
    </xf>
    <xf numFmtId="0" fontId="8" fillId="0" borderId="28" xfId="0" applyFont="1" applyFill="1" applyBorder="1" applyAlignment="1">
      <alignment horizontal="center" vertical="center" wrapText="1"/>
    </xf>
    <xf numFmtId="0" fontId="8" fillId="0" borderId="0" xfId="0" applyFont="1" applyFill="1" applyBorder="1" applyAlignment="1">
      <alignment horizontal="center" vertical="center" wrapText="1"/>
    </xf>
    <xf numFmtId="0" fontId="8" fillId="0" borderId="29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/>
    </xf>
    <xf numFmtId="0" fontId="8" fillId="0" borderId="27" xfId="0" applyFont="1" applyFill="1" applyBorder="1" applyAlignment="1">
      <alignment horizontal="center" vertical="center" textRotation="90"/>
    </xf>
    <xf numFmtId="0" fontId="8" fillId="0" borderId="34" xfId="0" applyFont="1" applyFill="1" applyBorder="1" applyAlignment="1">
      <alignment horizontal="center" vertical="center" textRotation="90"/>
    </xf>
    <xf numFmtId="0" fontId="8" fillId="0" borderId="19" xfId="0" applyFont="1" applyFill="1" applyBorder="1" applyAlignment="1">
      <alignment horizontal="center" vertical="center" wrapText="1"/>
    </xf>
    <xf numFmtId="0" fontId="8" fillId="0" borderId="27" xfId="0" applyFont="1" applyFill="1" applyBorder="1" applyAlignment="1">
      <alignment horizontal="center" vertical="center" wrapText="1"/>
    </xf>
    <xf numFmtId="0" fontId="8" fillId="0" borderId="34" xfId="0" applyFont="1" applyFill="1" applyBorder="1" applyAlignment="1">
      <alignment horizontal="center" vertical="center" wrapText="1"/>
    </xf>
    <xf numFmtId="0" fontId="8" fillId="0" borderId="19" xfId="0" applyFont="1" applyFill="1" applyBorder="1" applyAlignment="1">
      <alignment horizontal="center" vertical="center" textRotation="90" wrapText="1"/>
    </xf>
    <xf numFmtId="0" fontId="8" fillId="0" borderId="27" xfId="0" applyFont="1" applyFill="1" applyBorder="1" applyAlignment="1">
      <alignment horizontal="center" vertical="center" textRotation="90" wrapText="1"/>
    </xf>
    <xf numFmtId="0" fontId="8" fillId="0" borderId="34" xfId="0" applyFont="1" applyFill="1" applyBorder="1" applyAlignment="1">
      <alignment horizontal="center" vertical="center" textRotation="90" wrapText="1"/>
    </xf>
    <xf numFmtId="0" fontId="9" fillId="2" borderId="21" xfId="0" applyFont="1" applyFill="1" applyBorder="1" applyAlignment="1">
      <alignment horizontal="center" vertical="center"/>
    </xf>
    <xf numFmtId="0" fontId="9" fillId="2" borderId="22" xfId="0" applyFont="1" applyFill="1" applyBorder="1" applyAlignment="1">
      <alignment horizontal="center" vertical="center"/>
    </xf>
    <xf numFmtId="0" fontId="9" fillId="2" borderId="23" xfId="0" applyFont="1" applyFill="1" applyBorder="1" applyAlignment="1">
      <alignment horizontal="center" vertical="center"/>
    </xf>
    <xf numFmtId="0" fontId="8" fillId="0" borderId="27" xfId="0" applyFont="1" applyFill="1" applyBorder="1" applyAlignment="1">
      <alignment horizontal="center" vertical="center" textRotation="89" wrapText="1"/>
    </xf>
    <xf numFmtId="0" fontId="8" fillId="0" borderId="34" xfId="0" applyFont="1" applyFill="1" applyBorder="1" applyAlignment="1">
      <alignment horizontal="center" vertical="center" textRotation="89" wrapText="1"/>
    </xf>
    <xf numFmtId="0" fontId="8" fillId="0" borderId="21" xfId="0" applyFont="1" applyFill="1" applyBorder="1" applyAlignment="1">
      <alignment horizontal="center" vertical="center" wrapText="1"/>
    </xf>
    <xf numFmtId="0" fontId="8" fillId="0" borderId="22" xfId="0" applyFont="1" applyFill="1" applyBorder="1" applyAlignment="1">
      <alignment horizontal="center" vertical="center" wrapText="1"/>
    </xf>
    <xf numFmtId="0" fontId="8" fillId="0" borderId="23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0" fontId="9" fillId="2" borderId="2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wrapText="1"/>
    </xf>
    <xf numFmtId="0" fontId="2" fillId="0" borderId="51" xfId="0" applyFont="1" applyBorder="1" applyAlignment="1">
      <alignment horizontal="center" wrapText="1"/>
    </xf>
    <xf numFmtId="0" fontId="3" fillId="3" borderId="52" xfId="0" applyFont="1" applyFill="1" applyBorder="1" applyAlignment="1">
      <alignment horizontal="center" vertical="center" wrapText="1"/>
    </xf>
    <xf numFmtId="0" fontId="3" fillId="3" borderId="53" xfId="0" applyFont="1" applyFill="1" applyBorder="1" applyAlignment="1">
      <alignment horizontal="center" vertical="center" wrapText="1"/>
    </xf>
    <xf numFmtId="0" fontId="3" fillId="3" borderId="54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3" xfId="1"/>
  </cellStyles>
  <dxfs count="36"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79998168889431442"/>
        </patternFill>
      </fill>
    </dxf>
    <dxf>
      <font>
        <b val="0"/>
        <i/>
      </font>
      <fill>
        <patternFill>
          <bgColor theme="6" tint="0.79998168889431442"/>
        </patternFill>
      </fill>
    </dxf>
    <dxf>
      <fill>
        <patternFill>
          <bgColor theme="2" tint="-9.9948118533890809E-2"/>
        </patternFill>
      </fill>
    </dxf>
    <dxf>
      <font>
        <b/>
        <i/>
      </font>
      <fill>
        <patternFill>
          <bgColor theme="6" tint="0.59996337778862885"/>
        </patternFill>
      </fill>
    </dxf>
    <dxf>
      <font>
        <b val="0"/>
        <i/>
      </font>
      <fill>
        <patternFill>
          <bgColor theme="6" tint="0.59996337778862885"/>
        </patternFill>
      </fill>
    </dxf>
    <dxf>
      <fill>
        <patternFill>
          <bgColor theme="2" tint="-9.9948118533890809E-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AR82"/>
  <sheetViews>
    <sheetView tabSelected="1" topLeftCell="A49" zoomScale="70" zoomScaleNormal="70" workbookViewId="0">
      <selection activeCell="A73" sqref="A73:AE73"/>
    </sheetView>
  </sheetViews>
  <sheetFormatPr defaultColWidth="9.140625" defaultRowHeight="18.75"/>
  <cols>
    <col min="1" max="1" width="5.7109375" style="2" customWidth="1"/>
    <col min="2" max="2" width="31" style="1" customWidth="1"/>
    <col min="3" max="6" width="7.7109375" style="2" customWidth="1"/>
    <col min="7" max="28" width="5.7109375" style="2" customWidth="1"/>
    <col min="29" max="29" width="5.7109375" style="14" customWidth="1"/>
    <col min="30" max="30" width="5.7109375" style="45" customWidth="1"/>
    <col min="31" max="31" width="24.42578125" style="2" customWidth="1"/>
    <col min="32" max="16384" width="9.140625" style="1"/>
  </cols>
  <sheetData>
    <row r="1" spans="1:44" ht="18.75" customHeight="1">
      <c r="A1" s="114" t="s">
        <v>15</v>
      </c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114"/>
      <c r="W1" s="114"/>
      <c r="X1" s="114"/>
      <c r="Y1" s="114"/>
      <c r="Z1" s="114"/>
      <c r="AA1" s="114"/>
      <c r="AB1" s="114"/>
      <c r="AC1" s="114"/>
      <c r="AD1" s="114"/>
      <c r="AE1" s="93"/>
    </row>
    <row r="2" spans="1:44">
      <c r="A2" s="115" t="s">
        <v>16</v>
      </c>
      <c r="B2" s="115"/>
      <c r="C2" s="115"/>
      <c r="D2" s="115"/>
      <c r="E2" s="115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5"/>
      <c r="W2" s="115"/>
      <c r="X2" s="115"/>
      <c r="Y2" s="115"/>
      <c r="Z2" s="115"/>
      <c r="AA2" s="115"/>
      <c r="AB2" s="115"/>
      <c r="AC2" s="115"/>
      <c r="AD2" s="115"/>
    </row>
    <row r="3" spans="1:44" ht="18.75" customHeight="1">
      <c r="A3" s="140"/>
      <c r="B3" s="140"/>
      <c r="C3" s="140"/>
      <c r="H3" s="116" t="s">
        <v>17</v>
      </c>
      <c r="I3" s="116"/>
      <c r="J3" s="116"/>
      <c r="K3" s="116"/>
      <c r="L3" s="116"/>
      <c r="M3" s="116"/>
      <c r="N3" s="116"/>
      <c r="O3" s="116"/>
      <c r="P3" s="116"/>
      <c r="Q3" s="116"/>
      <c r="R3" s="116"/>
      <c r="S3" s="116"/>
      <c r="T3" s="116"/>
      <c r="U3" s="116"/>
      <c r="V3" s="116"/>
      <c r="W3" s="116"/>
      <c r="X3" s="116"/>
      <c r="Y3" s="116"/>
      <c r="Z3" s="116"/>
      <c r="AA3" s="116"/>
      <c r="AB3" s="116"/>
      <c r="AC3" s="116"/>
      <c r="AD3" s="116"/>
      <c r="AE3" s="116"/>
      <c r="AF3" s="116"/>
      <c r="AG3" s="116"/>
      <c r="AH3" s="116"/>
      <c r="AI3" s="116"/>
      <c r="AJ3" s="116"/>
      <c r="AK3" s="116"/>
    </row>
    <row r="4" spans="1:44" ht="19.5" thickBot="1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13"/>
      <c r="AD4" s="44"/>
      <c r="AE4" s="3"/>
    </row>
    <row r="5" spans="1:44" ht="20.100000000000001" customHeight="1" thickBot="1">
      <c r="A5" s="122" t="s">
        <v>1</v>
      </c>
      <c r="B5" s="125" t="s">
        <v>0</v>
      </c>
      <c r="C5" s="117" t="s">
        <v>4</v>
      </c>
      <c r="D5" s="118"/>
      <c r="E5" s="118"/>
      <c r="F5" s="118"/>
      <c r="G5" s="141" t="s">
        <v>9</v>
      </c>
      <c r="H5" s="139"/>
      <c r="I5" s="131" t="s">
        <v>10</v>
      </c>
      <c r="J5" s="132"/>
      <c r="K5" s="132"/>
      <c r="L5" s="133"/>
      <c r="M5" s="52" t="s">
        <v>11</v>
      </c>
      <c r="N5" s="53"/>
      <c r="O5" s="53"/>
      <c r="P5" s="54"/>
      <c r="Q5" s="52" t="s">
        <v>12</v>
      </c>
      <c r="R5" s="53"/>
      <c r="S5" s="53"/>
      <c r="T5" s="53"/>
      <c r="U5" s="131" t="s">
        <v>13</v>
      </c>
      <c r="V5" s="139"/>
      <c r="W5" s="132"/>
      <c r="X5" s="132"/>
      <c r="Y5" s="54"/>
      <c r="Z5" s="131" t="s">
        <v>14</v>
      </c>
      <c r="AA5" s="132"/>
      <c r="AB5" s="132"/>
      <c r="AC5" s="132"/>
      <c r="AD5" s="61"/>
      <c r="AE5" s="125" t="s">
        <v>5</v>
      </c>
    </row>
    <row r="6" spans="1:44" ht="20.100000000000001" customHeight="1" thickBot="1">
      <c r="A6" s="123"/>
      <c r="B6" s="126"/>
      <c r="C6" s="119"/>
      <c r="D6" s="120"/>
      <c r="E6" s="120"/>
      <c r="F6" s="121"/>
      <c r="G6" s="16">
        <v>24</v>
      </c>
      <c r="H6" s="17">
        <v>31</v>
      </c>
      <c r="I6" s="18">
        <v>7</v>
      </c>
      <c r="J6" s="19">
        <v>14</v>
      </c>
      <c r="K6" s="20">
        <v>21</v>
      </c>
      <c r="L6" s="26">
        <v>28</v>
      </c>
      <c r="M6" s="22">
        <v>7</v>
      </c>
      <c r="N6" s="19">
        <v>14</v>
      </c>
      <c r="O6" s="18">
        <v>21</v>
      </c>
      <c r="P6" s="21">
        <v>28</v>
      </c>
      <c r="Q6" s="24">
        <v>4</v>
      </c>
      <c r="R6" s="18">
        <v>11</v>
      </c>
      <c r="S6" s="18">
        <v>18</v>
      </c>
      <c r="T6" s="21">
        <v>25</v>
      </c>
      <c r="U6" s="27">
        <v>2</v>
      </c>
      <c r="V6" s="57">
        <v>9</v>
      </c>
      <c r="W6" s="25">
        <v>16</v>
      </c>
      <c r="X6" s="24">
        <v>23</v>
      </c>
      <c r="Y6" s="21">
        <v>30</v>
      </c>
      <c r="Z6" s="58">
        <v>6</v>
      </c>
      <c r="AA6" s="60">
        <v>13</v>
      </c>
      <c r="AB6" s="19">
        <v>20</v>
      </c>
      <c r="AC6" s="21">
        <v>27</v>
      </c>
      <c r="AD6" s="27">
        <v>4</v>
      </c>
      <c r="AE6" s="126"/>
    </row>
    <row r="7" spans="1:44" ht="20.100000000000001" customHeight="1" thickBot="1">
      <c r="A7" s="123"/>
      <c r="B7" s="126"/>
      <c r="C7" s="128" t="s">
        <v>2</v>
      </c>
      <c r="D7" s="136" t="s">
        <v>3</v>
      </c>
      <c r="E7" s="137"/>
      <c r="F7" s="138"/>
      <c r="G7" s="46">
        <v>25</v>
      </c>
      <c r="H7" s="23">
        <v>1</v>
      </c>
      <c r="I7" s="30">
        <v>8</v>
      </c>
      <c r="J7" s="31">
        <v>15</v>
      </c>
      <c r="K7" s="29">
        <v>22</v>
      </c>
      <c r="L7" s="24">
        <v>1</v>
      </c>
      <c r="M7" s="51">
        <v>8</v>
      </c>
      <c r="N7" s="31">
        <v>15</v>
      </c>
      <c r="O7" s="30">
        <v>22</v>
      </c>
      <c r="P7" s="29">
        <v>29</v>
      </c>
      <c r="Q7" s="35">
        <v>5</v>
      </c>
      <c r="R7" s="18">
        <v>12</v>
      </c>
      <c r="S7" s="18">
        <v>19</v>
      </c>
      <c r="T7" s="36">
        <v>26</v>
      </c>
      <c r="U7" s="55">
        <v>3</v>
      </c>
      <c r="V7" s="34">
        <v>10</v>
      </c>
      <c r="W7" s="34">
        <v>17</v>
      </c>
      <c r="X7" s="35">
        <v>24</v>
      </c>
      <c r="Y7" s="33">
        <v>31</v>
      </c>
      <c r="Z7" s="30">
        <v>7</v>
      </c>
      <c r="AA7" s="19">
        <v>14</v>
      </c>
      <c r="AB7" s="19">
        <v>21</v>
      </c>
      <c r="AC7" s="29">
        <v>28</v>
      </c>
      <c r="AD7" s="32">
        <v>5</v>
      </c>
      <c r="AE7" s="126"/>
    </row>
    <row r="8" spans="1:44" ht="20.100000000000001" customHeight="1">
      <c r="A8" s="123"/>
      <c r="B8" s="126"/>
      <c r="C8" s="129"/>
      <c r="D8" s="134" t="s">
        <v>6</v>
      </c>
      <c r="E8" s="129" t="s">
        <v>7</v>
      </c>
      <c r="F8" s="129" t="s">
        <v>8</v>
      </c>
      <c r="G8" s="46">
        <v>26</v>
      </c>
      <c r="H8" s="28">
        <v>2</v>
      </c>
      <c r="I8" s="18">
        <v>9</v>
      </c>
      <c r="J8" s="19">
        <v>16</v>
      </c>
      <c r="K8" s="50">
        <v>23</v>
      </c>
      <c r="L8" s="18">
        <v>2</v>
      </c>
      <c r="M8" s="18">
        <v>9</v>
      </c>
      <c r="N8" s="19">
        <v>16</v>
      </c>
      <c r="O8" s="18">
        <v>23</v>
      </c>
      <c r="P8" s="29">
        <v>30</v>
      </c>
      <c r="Q8" s="35">
        <v>6</v>
      </c>
      <c r="R8" s="18">
        <v>13</v>
      </c>
      <c r="S8" s="18">
        <v>20</v>
      </c>
      <c r="T8" s="36">
        <v>27</v>
      </c>
      <c r="U8" s="32">
        <v>4</v>
      </c>
      <c r="V8" s="31">
        <v>11</v>
      </c>
      <c r="W8" s="31">
        <v>18</v>
      </c>
      <c r="X8" s="29">
        <v>25</v>
      </c>
      <c r="Y8" s="24">
        <v>1</v>
      </c>
      <c r="Z8" s="18">
        <v>8</v>
      </c>
      <c r="AA8" s="19">
        <v>15</v>
      </c>
      <c r="AB8" s="19">
        <v>22</v>
      </c>
      <c r="AC8" s="29">
        <v>29</v>
      </c>
      <c r="AD8" s="30">
        <v>6</v>
      </c>
      <c r="AE8" s="126"/>
    </row>
    <row r="9" spans="1:44" s="4" customFormat="1" ht="20.100000000000001" customHeight="1" thickBot="1">
      <c r="A9" s="123"/>
      <c r="B9" s="126"/>
      <c r="C9" s="129"/>
      <c r="D9" s="134"/>
      <c r="E9" s="129"/>
      <c r="F9" s="129"/>
      <c r="G9" s="46">
        <v>27</v>
      </c>
      <c r="H9" s="28">
        <v>3</v>
      </c>
      <c r="I9" s="30">
        <v>10</v>
      </c>
      <c r="J9" s="31">
        <v>17</v>
      </c>
      <c r="K9" s="29">
        <v>24</v>
      </c>
      <c r="L9" s="30">
        <v>3</v>
      </c>
      <c r="M9" s="30">
        <v>10</v>
      </c>
      <c r="N9" s="31">
        <v>17</v>
      </c>
      <c r="O9" s="30">
        <v>24</v>
      </c>
      <c r="P9" s="37">
        <v>31</v>
      </c>
      <c r="Q9" s="30">
        <v>7</v>
      </c>
      <c r="R9" s="18">
        <v>14</v>
      </c>
      <c r="S9" s="18">
        <v>21</v>
      </c>
      <c r="T9" s="36">
        <v>28</v>
      </c>
      <c r="U9" s="55">
        <v>5</v>
      </c>
      <c r="V9" s="31">
        <v>12</v>
      </c>
      <c r="W9" s="31">
        <v>19</v>
      </c>
      <c r="X9" s="29">
        <v>26</v>
      </c>
      <c r="Y9" s="30">
        <v>2</v>
      </c>
      <c r="Z9" s="18">
        <v>9</v>
      </c>
      <c r="AA9" s="19">
        <v>16</v>
      </c>
      <c r="AB9" s="19">
        <v>23</v>
      </c>
      <c r="AC9" s="33">
        <v>30</v>
      </c>
      <c r="AD9" s="46">
        <v>7</v>
      </c>
      <c r="AE9" s="121"/>
    </row>
    <row r="10" spans="1:44" s="4" customFormat="1" ht="20.100000000000001" customHeight="1">
      <c r="A10" s="123"/>
      <c r="B10" s="126"/>
      <c r="C10" s="129"/>
      <c r="D10" s="134"/>
      <c r="E10" s="129"/>
      <c r="F10" s="129"/>
      <c r="G10" s="47">
        <v>28</v>
      </c>
      <c r="H10" s="28">
        <v>4</v>
      </c>
      <c r="I10" s="18">
        <v>11</v>
      </c>
      <c r="J10" s="19">
        <v>18</v>
      </c>
      <c r="K10" s="36">
        <v>25</v>
      </c>
      <c r="L10" s="18">
        <v>4</v>
      </c>
      <c r="M10" s="18">
        <v>11</v>
      </c>
      <c r="N10" s="19">
        <v>18</v>
      </c>
      <c r="O10" s="29">
        <v>25</v>
      </c>
      <c r="P10" s="18">
        <v>1</v>
      </c>
      <c r="Q10" s="18">
        <v>8</v>
      </c>
      <c r="R10" s="18">
        <v>15</v>
      </c>
      <c r="S10" s="18">
        <v>22</v>
      </c>
      <c r="T10" s="36">
        <v>29</v>
      </c>
      <c r="U10" s="28">
        <v>6</v>
      </c>
      <c r="V10" s="31">
        <v>13</v>
      </c>
      <c r="W10" s="19">
        <v>20</v>
      </c>
      <c r="X10" s="36">
        <v>27</v>
      </c>
      <c r="Y10" s="18">
        <v>3</v>
      </c>
      <c r="Z10" s="18">
        <v>10</v>
      </c>
      <c r="AA10" s="19">
        <v>17</v>
      </c>
      <c r="AB10" s="29">
        <v>24</v>
      </c>
      <c r="AC10" s="24">
        <v>1</v>
      </c>
      <c r="AD10" s="32">
        <v>8</v>
      </c>
      <c r="AE10" s="126"/>
    </row>
    <row r="11" spans="1:44" s="4" customFormat="1" ht="20.100000000000001" customHeight="1" thickBot="1">
      <c r="A11" s="123"/>
      <c r="B11" s="126"/>
      <c r="C11" s="129"/>
      <c r="D11" s="134"/>
      <c r="E11" s="129"/>
      <c r="F11" s="129"/>
      <c r="G11" s="48">
        <v>29</v>
      </c>
      <c r="H11" s="38">
        <v>5</v>
      </c>
      <c r="I11" s="30">
        <v>12</v>
      </c>
      <c r="J11" s="31">
        <v>19</v>
      </c>
      <c r="K11" s="37">
        <v>26</v>
      </c>
      <c r="L11" s="40">
        <v>5</v>
      </c>
      <c r="M11" s="30">
        <v>12</v>
      </c>
      <c r="N11" s="31">
        <v>19</v>
      </c>
      <c r="O11" s="29">
        <v>26</v>
      </c>
      <c r="P11" s="40">
        <v>2</v>
      </c>
      <c r="Q11" s="40">
        <v>9</v>
      </c>
      <c r="R11" s="39">
        <v>16</v>
      </c>
      <c r="S11" s="40">
        <v>23</v>
      </c>
      <c r="T11" s="20">
        <v>30</v>
      </c>
      <c r="U11" s="56">
        <v>7</v>
      </c>
      <c r="V11" s="39">
        <v>14</v>
      </c>
      <c r="W11" s="39">
        <v>21</v>
      </c>
      <c r="X11" s="37">
        <v>28</v>
      </c>
      <c r="Y11" s="40">
        <v>4</v>
      </c>
      <c r="Z11" s="18">
        <v>11</v>
      </c>
      <c r="AA11" s="19">
        <v>18</v>
      </c>
      <c r="AB11" s="33">
        <v>25</v>
      </c>
      <c r="AC11" s="59">
        <v>2</v>
      </c>
      <c r="AD11" s="55">
        <v>9</v>
      </c>
      <c r="AE11" s="126"/>
    </row>
    <row r="12" spans="1:44" s="4" customFormat="1" ht="20.100000000000001" customHeight="1" thickBot="1">
      <c r="A12" s="124"/>
      <c r="B12" s="127"/>
      <c r="C12" s="130"/>
      <c r="D12" s="135"/>
      <c r="E12" s="130"/>
      <c r="F12" s="130"/>
      <c r="G12" s="49">
        <v>1</v>
      </c>
      <c r="H12" s="5">
        <v>2</v>
      </c>
      <c r="I12" s="7">
        <v>3</v>
      </c>
      <c r="J12" s="7">
        <v>4</v>
      </c>
      <c r="K12" s="8">
        <v>5</v>
      </c>
      <c r="L12" s="5">
        <v>6</v>
      </c>
      <c r="M12" s="7">
        <v>7</v>
      </c>
      <c r="N12" s="6">
        <v>8</v>
      </c>
      <c r="O12" s="10">
        <v>9</v>
      </c>
      <c r="P12" s="7">
        <v>10</v>
      </c>
      <c r="Q12" s="41">
        <v>11</v>
      </c>
      <c r="R12" s="7">
        <v>12</v>
      </c>
      <c r="S12" s="6">
        <v>13</v>
      </c>
      <c r="T12" s="8">
        <v>14</v>
      </c>
      <c r="U12" s="5">
        <v>15</v>
      </c>
      <c r="V12" s="41">
        <v>16</v>
      </c>
      <c r="W12" s="42">
        <v>17</v>
      </c>
      <c r="X12" s="43">
        <v>18</v>
      </c>
      <c r="Y12" s="15">
        <v>19</v>
      </c>
      <c r="Z12" s="15">
        <v>20</v>
      </c>
      <c r="AA12" s="6">
        <v>21</v>
      </c>
      <c r="AB12" s="10">
        <v>22</v>
      </c>
      <c r="AC12" s="9">
        <v>23</v>
      </c>
      <c r="AD12" s="6">
        <v>24</v>
      </c>
      <c r="AE12" s="127"/>
    </row>
    <row r="13" spans="1:44" s="4" customFormat="1" ht="35.25" customHeight="1">
      <c r="A13" s="95"/>
      <c r="B13" s="95"/>
      <c r="C13" s="94"/>
      <c r="D13" s="94"/>
      <c r="E13" s="94"/>
      <c r="F13" s="94"/>
      <c r="G13" s="94"/>
      <c r="H13" s="94"/>
      <c r="I13" s="94"/>
      <c r="J13" s="94"/>
      <c r="K13" s="94"/>
      <c r="L13" s="142" t="s">
        <v>18</v>
      </c>
      <c r="M13" s="142"/>
      <c r="N13" s="142"/>
      <c r="O13" s="142"/>
      <c r="P13" s="142"/>
      <c r="Q13" s="142"/>
      <c r="R13" s="142"/>
      <c r="S13" s="142"/>
      <c r="T13" s="142"/>
      <c r="U13" s="142"/>
      <c r="V13" s="142"/>
      <c r="W13" s="142"/>
      <c r="X13" s="142"/>
      <c r="Y13" s="142"/>
      <c r="Z13" s="142"/>
      <c r="AA13" s="142"/>
      <c r="AB13" s="142"/>
      <c r="AC13" s="142"/>
      <c r="AD13" s="142"/>
      <c r="AE13" s="142"/>
      <c r="AF13" s="142"/>
      <c r="AG13" s="142"/>
      <c r="AH13" s="142"/>
      <c r="AI13" s="142"/>
      <c r="AJ13" s="142"/>
      <c r="AK13" s="142"/>
      <c r="AL13" s="142"/>
      <c r="AM13" s="142"/>
      <c r="AN13" s="142"/>
      <c r="AO13" s="142"/>
    </row>
    <row r="14" spans="1:44" s="4" customFormat="1" ht="19.5" customHeight="1" thickBot="1">
      <c r="A14" s="143" t="s">
        <v>22</v>
      </c>
      <c r="B14" s="143"/>
      <c r="C14" s="143"/>
      <c r="D14" s="143"/>
      <c r="E14" s="143"/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M14" s="12"/>
      <c r="AN14" s="96"/>
      <c r="AO14" s="97"/>
      <c r="AP14" s="97"/>
      <c r="AQ14" s="11"/>
      <c r="AR14" s="11"/>
    </row>
    <row r="15" spans="1:44" s="4" customFormat="1" ht="19.5" customHeight="1" thickBot="1">
      <c r="A15" s="112" t="s">
        <v>41</v>
      </c>
      <c r="B15" s="112"/>
      <c r="C15" s="112"/>
      <c r="D15" s="112"/>
      <c r="E15" s="112"/>
      <c r="F15" s="112"/>
      <c r="G15" s="112"/>
      <c r="H15" s="112"/>
      <c r="I15" s="112"/>
      <c r="J15" s="112"/>
      <c r="K15" s="113"/>
      <c r="L15" s="113"/>
      <c r="M15" s="113"/>
      <c r="N15" s="113"/>
      <c r="O15" s="113"/>
      <c r="P15" s="113"/>
      <c r="Q15" s="112"/>
      <c r="R15" s="112"/>
      <c r="S15" s="112"/>
      <c r="T15" s="112"/>
      <c r="U15" s="112"/>
      <c r="V15" s="112"/>
      <c r="W15" s="112"/>
      <c r="X15" s="112"/>
      <c r="Y15" s="112"/>
      <c r="Z15" s="112"/>
      <c r="AA15" s="112"/>
      <c r="AB15" s="112"/>
      <c r="AC15" s="112"/>
      <c r="AD15" s="112"/>
      <c r="AE15" s="112"/>
      <c r="AM15" s="12"/>
      <c r="AN15" s="96"/>
      <c r="AO15" s="102"/>
      <c r="AP15" s="102"/>
      <c r="AQ15" s="11"/>
      <c r="AR15" s="11"/>
    </row>
    <row r="16" spans="1:44" ht="37.5">
      <c r="A16" s="82">
        <v>22</v>
      </c>
      <c r="B16" s="83" t="s">
        <v>40</v>
      </c>
      <c r="C16" s="64">
        <f t="shared" ref="C16" si="0">SUM(D16:F18)</f>
        <v>54</v>
      </c>
      <c r="D16" s="65">
        <f t="shared" ref="D16" si="1">SUM(G16:AD16)</f>
        <v>18</v>
      </c>
      <c r="E16" s="65"/>
      <c r="F16" s="66"/>
      <c r="G16" s="64">
        <v>2</v>
      </c>
      <c r="H16" s="65"/>
      <c r="I16" s="65">
        <v>2</v>
      </c>
      <c r="J16" s="64"/>
      <c r="K16" s="64">
        <v>2</v>
      </c>
      <c r="L16" s="65"/>
      <c r="M16" s="65">
        <v>2</v>
      </c>
      <c r="N16" s="65"/>
      <c r="O16" s="65">
        <v>2</v>
      </c>
      <c r="P16" s="65"/>
      <c r="Q16" s="64">
        <v>2</v>
      </c>
      <c r="R16" s="64"/>
      <c r="S16" s="65">
        <v>2</v>
      </c>
      <c r="T16" s="65"/>
      <c r="U16" s="65">
        <v>2</v>
      </c>
      <c r="V16" s="65"/>
      <c r="W16" s="65">
        <v>2</v>
      </c>
      <c r="X16" s="65"/>
      <c r="Y16" s="65"/>
      <c r="Z16" s="65"/>
      <c r="AA16" s="65"/>
      <c r="AB16" s="65"/>
      <c r="AC16" s="65"/>
      <c r="AD16" s="65"/>
      <c r="AE16" s="66" t="s">
        <v>32</v>
      </c>
    </row>
    <row r="17" spans="1:44">
      <c r="A17" s="84"/>
      <c r="B17" s="85"/>
      <c r="C17" s="71"/>
      <c r="D17" s="72"/>
      <c r="E17" s="72">
        <f t="shared" ref="E17" si="2">SUM(G17:X17)</f>
        <v>36</v>
      </c>
      <c r="F17" s="73"/>
      <c r="G17" s="105"/>
      <c r="H17" s="105">
        <v>4</v>
      </c>
      <c r="I17" s="105"/>
      <c r="J17" s="105">
        <v>4</v>
      </c>
      <c r="K17" s="105"/>
      <c r="L17" s="105">
        <v>4</v>
      </c>
      <c r="M17" s="105"/>
      <c r="N17" s="105">
        <v>4</v>
      </c>
      <c r="O17" s="105"/>
      <c r="P17" s="105">
        <v>4</v>
      </c>
      <c r="Q17" s="105"/>
      <c r="R17" s="105">
        <v>4</v>
      </c>
      <c r="S17" s="105"/>
      <c r="T17" s="105">
        <v>4</v>
      </c>
      <c r="U17" s="105"/>
      <c r="V17" s="105">
        <v>4</v>
      </c>
      <c r="W17" s="105"/>
      <c r="X17" s="105">
        <v>4</v>
      </c>
      <c r="Y17" s="72"/>
      <c r="Z17" s="72"/>
      <c r="AA17" s="72"/>
      <c r="AB17" s="72"/>
      <c r="AC17" s="72"/>
      <c r="AD17" s="72"/>
      <c r="AE17" s="76"/>
    </row>
    <row r="18" spans="1:44" ht="19.5" thickBot="1">
      <c r="A18" s="88"/>
      <c r="B18" s="89"/>
      <c r="C18" s="79"/>
      <c r="D18" s="80"/>
      <c r="E18" s="80"/>
      <c r="F18" s="81">
        <f t="shared" ref="F18" si="3">SUM(G18:AD18)</f>
        <v>0</v>
      </c>
      <c r="G18" s="86"/>
      <c r="H18" s="87"/>
      <c r="I18" s="86"/>
      <c r="J18" s="86"/>
      <c r="K18" s="86"/>
      <c r="L18" s="87"/>
      <c r="M18" s="87"/>
      <c r="N18" s="87"/>
      <c r="O18" s="87"/>
      <c r="P18" s="87"/>
      <c r="Q18" s="86"/>
      <c r="R18" s="86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1">
        <v>18</v>
      </c>
    </row>
    <row r="19" spans="1:44" ht="19.5" thickBot="1">
      <c r="A19" s="112" t="s">
        <v>42</v>
      </c>
      <c r="B19" s="112"/>
      <c r="C19" s="112"/>
      <c r="D19" s="112"/>
      <c r="E19" s="112"/>
      <c r="F19" s="112"/>
      <c r="G19" s="112"/>
      <c r="H19" s="112"/>
      <c r="I19" s="112"/>
      <c r="J19" s="112"/>
      <c r="K19" s="113"/>
      <c r="L19" s="113"/>
      <c r="M19" s="113"/>
      <c r="N19" s="113"/>
      <c r="O19" s="113"/>
      <c r="P19" s="113"/>
      <c r="Q19" s="112"/>
      <c r="R19" s="112"/>
      <c r="S19" s="112"/>
      <c r="T19" s="112"/>
      <c r="U19" s="112"/>
      <c r="V19" s="112"/>
      <c r="W19" s="112"/>
      <c r="X19" s="112"/>
      <c r="Y19" s="112"/>
      <c r="Z19" s="112"/>
      <c r="AA19" s="112"/>
      <c r="AB19" s="112"/>
      <c r="AC19" s="112"/>
      <c r="AD19" s="112"/>
      <c r="AE19" s="112"/>
    </row>
    <row r="20" spans="1:44" ht="37.5">
      <c r="A20" s="82">
        <v>22</v>
      </c>
      <c r="B20" s="83" t="s">
        <v>27</v>
      </c>
      <c r="C20" s="64">
        <f t="shared" ref="C20" si="4">SUM(D20:F22)</f>
        <v>60</v>
      </c>
      <c r="D20" s="65">
        <f t="shared" ref="D20" si="5">SUM(G20:Z20)</f>
        <v>20</v>
      </c>
      <c r="E20" s="65"/>
      <c r="F20" s="66"/>
      <c r="G20" s="67">
        <v>2</v>
      </c>
      <c r="H20" s="68"/>
      <c r="I20" s="68">
        <v>2</v>
      </c>
      <c r="J20" s="67"/>
      <c r="K20" s="64">
        <v>2</v>
      </c>
      <c r="L20" s="65"/>
      <c r="M20" s="65">
        <v>2</v>
      </c>
      <c r="N20" s="65"/>
      <c r="O20" s="65">
        <v>2</v>
      </c>
      <c r="P20" s="65"/>
      <c r="Q20" s="64">
        <v>2</v>
      </c>
      <c r="R20" s="64"/>
      <c r="S20" s="65">
        <v>2</v>
      </c>
      <c r="T20" s="65"/>
      <c r="U20" s="65">
        <v>2</v>
      </c>
      <c r="V20" s="65"/>
      <c r="W20" s="65">
        <v>2</v>
      </c>
      <c r="X20" s="65"/>
      <c r="Y20" s="65">
        <v>2</v>
      </c>
      <c r="Z20" s="65"/>
      <c r="AA20" s="65"/>
      <c r="AB20" s="65"/>
      <c r="AC20" s="65"/>
      <c r="AD20" s="65"/>
      <c r="AE20" s="66" t="s">
        <v>32</v>
      </c>
    </row>
    <row r="21" spans="1:44">
      <c r="A21" s="84"/>
      <c r="B21" s="85"/>
      <c r="C21" s="71"/>
      <c r="D21" s="72"/>
      <c r="E21" s="72">
        <f t="shared" ref="E21" si="6">SUM(G21:Z21)</f>
        <v>40</v>
      </c>
      <c r="F21" s="73"/>
      <c r="G21" s="105">
        <v>2</v>
      </c>
      <c r="H21" s="105">
        <v>2</v>
      </c>
      <c r="I21" s="105">
        <v>2</v>
      </c>
      <c r="J21" s="105">
        <v>2</v>
      </c>
      <c r="K21" s="105">
        <v>2</v>
      </c>
      <c r="L21" s="105">
        <v>2</v>
      </c>
      <c r="M21" s="105">
        <v>2</v>
      </c>
      <c r="N21" s="105">
        <v>2</v>
      </c>
      <c r="O21" s="105">
        <v>2</v>
      </c>
      <c r="P21" s="105">
        <v>2</v>
      </c>
      <c r="Q21" s="105">
        <v>2</v>
      </c>
      <c r="R21" s="105">
        <v>2</v>
      </c>
      <c r="S21" s="105">
        <v>2</v>
      </c>
      <c r="T21" s="105">
        <v>2</v>
      </c>
      <c r="U21" s="105">
        <v>2</v>
      </c>
      <c r="V21" s="105">
        <v>2</v>
      </c>
      <c r="W21" s="105">
        <v>2</v>
      </c>
      <c r="X21" s="105">
        <v>2</v>
      </c>
      <c r="Y21" s="105">
        <v>2</v>
      </c>
      <c r="Z21" s="105">
        <v>2</v>
      </c>
      <c r="AA21" s="72"/>
      <c r="AB21" s="72"/>
      <c r="AC21" s="72"/>
      <c r="AD21" s="72"/>
      <c r="AE21" s="76"/>
    </row>
    <row r="22" spans="1:44" ht="19.5" thickBot="1">
      <c r="A22" s="88"/>
      <c r="B22" s="89"/>
      <c r="C22" s="79"/>
      <c r="D22" s="80"/>
      <c r="E22" s="80"/>
      <c r="F22" s="81">
        <f t="shared" ref="F22" si="7">SUM(G22:Z22)</f>
        <v>0</v>
      </c>
      <c r="G22" s="86"/>
      <c r="H22" s="87"/>
      <c r="I22" s="86"/>
      <c r="J22" s="79"/>
      <c r="K22" s="86"/>
      <c r="L22" s="87"/>
      <c r="M22" s="87"/>
      <c r="N22" s="87"/>
      <c r="O22" s="87"/>
      <c r="P22" s="87"/>
      <c r="Q22" s="86"/>
      <c r="R22" s="86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1">
        <v>9</v>
      </c>
    </row>
    <row r="23" spans="1:44" s="4" customFormat="1" ht="19.5" thickBot="1">
      <c r="A23" s="109" t="s">
        <v>21</v>
      </c>
      <c r="B23" s="110"/>
      <c r="C23" s="110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10"/>
      <c r="Y23" s="110"/>
      <c r="Z23" s="110"/>
      <c r="AA23" s="110"/>
      <c r="AB23" s="110"/>
      <c r="AC23" s="110"/>
      <c r="AD23" s="110"/>
      <c r="AE23" s="111"/>
      <c r="AM23" s="11"/>
      <c r="AN23" s="11"/>
      <c r="AO23" s="11"/>
      <c r="AP23" s="11"/>
      <c r="AQ23" s="11"/>
      <c r="AR23" s="11"/>
    </row>
    <row r="24" spans="1:44" s="4" customFormat="1" ht="37.5">
      <c r="A24" s="82">
        <v>22</v>
      </c>
      <c r="B24" s="83" t="s">
        <v>19</v>
      </c>
      <c r="C24" s="64">
        <f t="shared" ref="C24" si="8">SUM(D24:F26)</f>
        <v>36</v>
      </c>
      <c r="D24" s="65">
        <f t="shared" ref="D24" si="9">SUM(G24:X24)</f>
        <v>18</v>
      </c>
      <c r="E24" s="65"/>
      <c r="F24" s="66"/>
      <c r="G24" s="67">
        <v>2</v>
      </c>
      <c r="H24" s="68"/>
      <c r="I24" s="68">
        <v>2</v>
      </c>
      <c r="J24" s="67"/>
      <c r="K24" s="64">
        <v>2</v>
      </c>
      <c r="L24" s="65"/>
      <c r="M24" s="65">
        <v>2</v>
      </c>
      <c r="N24" s="65"/>
      <c r="O24" s="65">
        <v>2</v>
      </c>
      <c r="P24" s="65"/>
      <c r="Q24" s="64">
        <v>2</v>
      </c>
      <c r="R24" s="64"/>
      <c r="S24" s="65">
        <v>2</v>
      </c>
      <c r="T24" s="65"/>
      <c r="U24" s="65">
        <v>2</v>
      </c>
      <c r="V24" s="65"/>
      <c r="W24" s="65">
        <v>2</v>
      </c>
      <c r="X24" s="66"/>
      <c r="Y24" s="64"/>
      <c r="Z24" s="65"/>
      <c r="AA24" s="65"/>
      <c r="AB24" s="65"/>
      <c r="AC24" s="65"/>
      <c r="AD24" s="65"/>
      <c r="AE24" s="66" t="s">
        <v>20</v>
      </c>
      <c r="AM24" s="11"/>
      <c r="AN24" s="11"/>
      <c r="AO24" s="11"/>
      <c r="AP24" s="11"/>
      <c r="AQ24" s="11"/>
      <c r="AR24" s="11"/>
    </row>
    <row r="25" spans="1:44" s="4" customFormat="1">
      <c r="A25" s="84"/>
      <c r="B25" s="85"/>
      <c r="C25" s="71"/>
      <c r="D25" s="72"/>
      <c r="E25" s="72">
        <f t="shared" ref="E25" si="10">SUM(G25:X25)</f>
        <v>18</v>
      </c>
      <c r="F25" s="73"/>
      <c r="G25" s="71"/>
      <c r="H25" s="71">
        <v>2</v>
      </c>
      <c r="I25" s="71"/>
      <c r="J25" s="71">
        <v>2</v>
      </c>
      <c r="K25" s="71"/>
      <c r="L25" s="71">
        <v>2</v>
      </c>
      <c r="M25" s="71"/>
      <c r="N25" s="71">
        <v>2</v>
      </c>
      <c r="O25" s="71"/>
      <c r="P25" s="71">
        <v>2</v>
      </c>
      <c r="Q25" s="71"/>
      <c r="R25" s="71">
        <v>2</v>
      </c>
      <c r="S25" s="71"/>
      <c r="T25" s="71">
        <v>2</v>
      </c>
      <c r="U25" s="71"/>
      <c r="V25" s="71">
        <v>2</v>
      </c>
      <c r="W25" s="71"/>
      <c r="X25" s="90">
        <v>2</v>
      </c>
      <c r="Y25" s="91"/>
      <c r="Z25" s="72"/>
      <c r="AA25" s="72"/>
      <c r="AB25" s="72"/>
      <c r="AC25" s="72"/>
      <c r="AD25" s="72"/>
      <c r="AE25" s="76"/>
      <c r="AM25" s="12"/>
      <c r="AN25" s="96"/>
      <c r="AO25" s="108"/>
      <c r="AP25" s="108"/>
      <c r="AQ25" s="11"/>
      <c r="AR25" s="11"/>
    </row>
    <row r="26" spans="1:44" s="4" customFormat="1" ht="19.5" thickBot="1">
      <c r="A26" s="99"/>
      <c r="B26" s="89"/>
      <c r="C26" s="79"/>
      <c r="D26" s="80"/>
      <c r="E26" s="80"/>
      <c r="F26" s="81">
        <f t="shared" ref="F26" si="11">SUM(G26:X26)</f>
        <v>0</v>
      </c>
      <c r="G26" s="79"/>
      <c r="H26" s="80"/>
      <c r="I26" s="80"/>
      <c r="J26" s="79"/>
      <c r="K26" s="79"/>
      <c r="L26" s="80"/>
      <c r="M26" s="80"/>
      <c r="N26" s="80"/>
      <c r="O26" s="80"/>
      <c r="P26" s="80"/>
      <c r="Q26" s="79"/>
      <c r="R26" s="79"/>
      <c r="S26" s="80"/>
      <c r="T26" s="80"/>
      <c r="U26" s="80"/>
      <c r="V26" s="80"/>
      <c r="W26" s="80"/>
      <c r="X26" s="92"/>
      <c r="Y26" s="86"/>
      <c r="Z26" s="87"/>
      <c r="AA26" s="87"/>
      <c r="AB26" s="87"/>
      <c r="AC26" s="87"/>
      <c r="AD26" s="87"/>
      <c r="AE26" s="81">
        <v>36</v>
      </c>
      <c r="AM26" s="12"/>
      <c r="AN26" s="96"/>
      <c r="AO26" s="108"/>
      <c r="AP26" s="108"/>
      <c r="AQ26" s="11"/>
      <c r="AR26" s="11"/>
    </row>
    <row r="27" spans="1:44" s="4" customFormat="1" ht="19.5" thickBot="1">
      <c r="A27" s="143" t="s">
        <v>23</v>
      </c>
      <c r="B27" s="143"/>
      <c r="C27" s="143"/>
      <c r="D27" s="143"/>
      <c r="E27" s="143"/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M27" s="12"/>
      <c r="AN27" s="96"/>
      <c r="AO27" s="108"/>
      <c r="AP27" s="108"/>
      <c r="AQ27" s="11"/>
      <c r="AR27" s="11"/>
    </row>
    <row r="28" spans="1:44" s="4" customFormat="1" ht="19.5" thickBot="1">
      <c r="A28" s="112" t="s">
        <v>44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3"/>
      <c r="L28" s="113"/>
      <c r="M28" s="113"/>
      <c r="N28" s="113"/>
      <c r="O28" s="113"/>
      <c r="P28" s="113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2"/>
      <c r="AM28" s="12"/>
      <c r="AN28" s="96"/>
      <c r="AO28" s="106"/>
      <c r="AP28" s="106"/>
      <c r="AQ28" s="11"/>
      <c r="AR28" s="11"/>
    </row>
    <row r="29" spans="1:44" ht="56.25">
      <c r="A29" s="82">
        <v>22</v>
      </c>
      <c r="B29" s="83" t="s">
        <v>43</v>
      </c>
      <c r="C29" s="64">
        <f t="shared" ref="C29" si="12">SUM(D29:F31)</f>
        <v>72</v>
      </c>
      <c r="D29" s="65">
        <f t="shared" ref="D29" si="13">SUM(G29:X29)</f>
        <v>36</v>
      </c>
      <c r="E29" s="65"/>
      <c r="F29" s="66"/>
      <c r="G29" s="67">
        <v>2</v>
      </c>
      <c r="H29" s="67">
        <v>2</v>
      </c>
      <c r="I29" s="67">
        <v>2</v>
      </c>
      <c r="J29" s="67">
        <v>2</v>
      </c>
      <c r="K29" s="67">
        <v>2</v>
      </c>
      <c r="L29" s="67">
        <v>2</v>
      </c>
      <c r="M29" s="67">
        <v>2</v>
      </c>
      <c r="N29" s="67">
        <v>2</v>
      </c>
      <c r="O29" s="67">
        <v>2</v>
      </c>
      <c r="P29" s="67">
        <v>2</v>
      </c>
      <c r="Q29" s="67">
        <v>2</v>
      </c>
      <c r="R29" s="67">
        <v>2</v>
      </c>
      <c r="S29" s="67">
        <v>2</v>
      </c>
      <c r="T29" s="67">
        <v>2</v>
      </c>
      <c r="U29" s="67">
        <v>2</v>
      </c>
      <c r="V29" s="67">
        <v>2</v>
      </c>
      <c r="W29" s="67">
        <v>2</v>
      </c>
      <c r="X29" s="67">
        <v>2</v>
      </c>
      <c r="Y29" s="65"/>
      <c r="Z29" s="65"/>
      <c r="AA29" s="65"/>
      <c r="AB29" s="65"/>
      <c r="AC29" s="65"/>
      <c r="AD29" s="65"/>
      <c r="AE29" s="66" t="s">
        <v>20</v>
      </c>
    </row>
    <row r="30" spans="1:44">
      <c r="A30" s="84"/>
      <c r="B30" s="85"/>
      <c r="C30" s="71"/>
      <c r="D30" s="72"/>
      <c r="E30" s="72">
        <f t="shared" ref="E30" si="14">SUM(G30:X30)</f>
        <v>36</v>
      </c>
      <c r="F30" s="73"/>
      <c r="G30" s="105">
        <v>2</v>
      </c>
      <c r="H30" s="105">
        <v>2</v>
      </c>
      <c r="I30" s="105">
        <v>2</v>
      </c>
      <c r="J30" s="105">
        <v>2</v>
      </c>
      <c r="K30" s="105">
        <v>2</v>
      </c>
      <c r="L30" s="105">
        <v>2</v>
      </c>
      <c r="M30" s="105">
        <v>2</v>
      </c>
      <c r="N30" s="105">
        <v>2</v>
      </c>
      <c r="O30" s="105">
        <v>2</v>
      </c>
      <c r="P30" s="105">
        <v>2</v>
      </c>
      <c r="Q30" s="105">
        <v>2</v>
      </c>
      <c r="R30" s="105">
        <v>2</v>
      </c>
      <c r="S30" s="105">
        <v>2</v>
      </c>
      <c r="T30" s="105">
        <v>2</v>
      </c>
      <c r="U30" s="105">
        <v>2</v>
      </c>
      <c r="V30" s="105">
        <v>2</v>
      </c>
      <c r="W30" s="105">
        <v>2</v>
      </c>
      <c r="X30" s="105">
        <v>2</v>
      </c>
      <c r="Y30" s="72"/>
      <c r="Z30" s="72"/>
      <c r="AA30" s="72"/>
      <c r="AB30" s="72"/>
      <c r="AC30" s="72"/>
      <c r="AD30" s="72"/>
      <c r="AE30" s="76"/>
    </row>
    <row r="31" spans="1:44" ht="19.5" thickBot="1">
      <c r="A31" s="88"/>
      <c r="B31" s="89"/>
      <c r="C31" s="79"/>
      <c r="D31" s="80"/>
      <c r="E31" s="80"/>
      <c r="F31" s="81">
        <f t="shared" ref="F31" si="15">SUM(G31:X31)</f>
        <v>0</v>
      </c>
      <c r="G31" s="86"/>
      <c r="H31" s="87"/>
      <c r="I31" s="86"/>
      <c r="J31" s="79"/>
      <c r="K31" s="86"/>
      <c r="L31" s="87"/>
      <c r="M31" s="87"/>
      <c r="N31" s="87"/>
      <c r="O31" s="87"/>
      <c r="P31" s="87"/>
      <c r="Q31" s="86"/>
      <c r="R31" s="86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1">
        <v>36</v>
      </c>
    </row>
    <row r="32" spans="1:44" s="4" customFormat="1" ht="19.5" thickBot="1">
      <c r="A32" s="109" t="s">
        <v>25</v>
      </c>
      <c r="B32" s="110"/>
      <c r="C32" s="110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10"/>
      <c r="Y32" s="110"/>
      <c r="Z32" s="110"/>
      <c r="AA32" s="110"/>
      <c r="AB32" s="110"/>
      <c r="AC32" s="110"/>
      <c r="AD32" s="110"/>
      <c r="AE32" s="111"/>
      <c r="AM32" s="11"/>
      <c r="AN32" s="11"/>
      <c r="AO32" s="11"/>
      <c r="AP32" s="11"/>
      <c r="AQ32" s="11"/>
      <c r="AR32" s="11"/>
    </row>
    <row r="33" spans="1:44" s="4" customFormat="1" ht="56.25">
      <c r="A33" s="82">
        <v>22</v>
      </c>
      <c r="B33" s="83" t="s">
        <v>24</v>
      </c>
      <c r="C33" s="64">
        <f>SUM(D33:F35)</f>
        <v>54</v>
      </c>
      <c r="D33" s="65">
        <f>SUM(G33:X33)</f>
        <v>18</v>
      </c>
      <c r="E33" s="65"/>
      <c r="F33" s="66"/>
      <c r="G33" s="67">
        <v>2</v>
      </c>
      <c r="H33" s="68"/>
      <c r="I33" s="68">
        <v>2</v>
      </c>
      <c r="J33" s="67"/>
      <c r="K33" s="64">
        <v>2</v>
      </c>
      <c r="L33" s="65"/>
      <c r="M33" s="65">
        <v>2</v>
      </c>
      <c r="N33" s="65"/>
      <c r="O33" s="65">
        <v>2</v>
      </c>
      <c r="P33" s="65"/>
      <c r="Q33" s="64">
        <v>2</v>
      </c>
      <c r="R33" s="64"/>
      <c r="S33" s="65">
        <v>2</v>
      </c>
      <c r="T33" s="65"/>
      <c r="U33" s="65">
        <v>2</v>
      </c>
      <c r="V33" s="65"/>
      <c r="W33" s="65">
        <v>2</v>
      </c>
      <c r="X33" s="66"/>
      <c r="Y33" s="64"/>
      <c r="Z33" s="65"/>
      <c r="AA33" s="65"/>
      <c r="AB33" s="65"/>
      <c r="AC33" s="65"/>
      <c r="AD33" s="65"/>
      <c r="AE33" s="66" t="s">
        <v>20</v>
      </c>
      <c r="AM33" s="11"/>
      <c r="AN33" s="11"/>
      <c r="AO33" s="11"/>
      <c r="AP33" s="11"/>
      <c r="AQ33" s="11"/>
      <c r="AR33" s="11"/>
    </row>
    <row r="34" spans="1:44" s="4" customFormat="1">
      <c r="A34" s="84"/>
      <c r="B34" s="85"/>
      <c r="C34" s="71"/>
      <c r="D34" s="72"/>
      <c r="E34" s="72">
        <f>SUM(G34:X34)</f>
        <v>36</v>
      </c>
      <c r="F34" s="73"/>
      <c r="G34" s="71"/>
      <c r="H34" s="71">
        <v>4</v>
      </c>
      <c r="I34" s="71"/>
      <c r="J34" s="71">
        <v>4</v>
      </c>
      <c r="K34" s="71"/>
      <c r="L34" s="71">
        <v>4</v>
      </c>
      <c r="M34" s="71"/>
      <c r="N34" s="71">
        <v>4</v>
      </c>
      <c r="O34" s="71"/>
      <c r="P34" s="71">
        <v>4</v>
      </c>
      <c r="Q34" s="71"/>
      <c r="R34" s="71">
        <v>4</v>
      </c>
      <c r="S34" s="71"/>
      <c r="T34" s="71">
        <v>4</v>
      </c>
      <c r="U34" s="71"/>
      <c r="V34" s="71">
        <v>4</v>
      </c>
      <c r="W34" s="71"/>
      <c r="X34" s="90">
        <v>4</v>
      </c>
      <c r="Y34" s="91"/>
      <c r="Z34" s="72"/>
      <c r="AA34" s="72"/>
      <c r="AB34" s="72"/>
      <c r="AC34" s="72"/>
      <c r="AD34" s="72"/>
      <c r="AE34" s="76"/>
      <c r="AM34" s="12"/>
      <c r="AN34" s="96"/>
      <c r="AO34" s="108"/>
      <c r="AP34" s="108"/>
      <c r="AQ34" s="11"/>
      <c r="AR34" s="11"/>
    </row>
    <row r="35" spans="1:44" s="4" customFormat="1" ht="19.5" thickBot="1">
      <c r="A35" s="88"/>
      <c r="B35" s="89"/>
      <c r="C35" s="79"/>
      <c r="D35" s="80"/>
      <c r="E35" s="80"/>
      <c r="F35" s="81">
        <f>SUM(G35:X35)</f>
        <v>0</v>
      </c>
      <c r="G35" s="79"/>
      <c r="H35" s="80"/>
      <c r="I35" s="80"/>
      <c r="J35" s="79"/>
      <c r="K35" s="79"/>
      <c r="L35" s="80"/>
      <c r="M35" s="80"/>
      <c r="N35" s="80"/>
      <c r="O35" s="80"/>
      <c r="P35" s="80"/>
      <c r="Q35" s="79"/>
      <c r="R35" s="79"/>
      <c r="S35" s="80"/>
      <c r="T35" s="80"/>
      <c r="U35" s="80"/>
      <c r="V35" s="80"/>
      <c r="W35" s="80"/>
      <c r="X35" s="92"/>
      <c r="Y35" s="86"/>
      <c r="Z35" s="87"/>
      <c r="AA35" s="87"/>
      <c r="AB35" s="87"/>
      <c r="AC35" s="87"/>
      <c r="AD35" s="87"/>
      <c r="AE35" s="81">
        <v>27</v>
      </c>
      <c r="AM35" s="12"/>
      <c r="AN35" s="96"/>
      <c r="AO35" s="108"/>
      <c r="AP35" s="108"/>
      <c r="AQ35" s="11"/>
      <c r="AR35" s="11"/>
    </row>
    <row r="36" spans="1:44" s="4" customFormat="1" ht="19.5" thickBot="1">
      <c r="A36" s="109" t="s">
        <v>26</v>
      </c>
      <c r="B36" s="110"/>
      <c r="C36" s="110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10"/>
      <c r="Y36" s="110"/>
      <c r="Z36" s="110"/>
      <c r="AA36" s="110"/>
      <c r="AB36" s="110"/>
      <c r="AC36" s="110"/>
      <c r="AD36" s="110"/>
      <c r="AE36" s="111"/>
      <c r="AM36" s="12"/>
      <c r="AN36" s="96"/>
      <c r="AO36" s="108"/>
      <c r="AP36" s="108"/>
      <c r="AQ36" s="11"/>
      <c r="AR36" s="11"/>
    </row>
    <row r="37" spans="1:44" s="4" customFormat="1" ht="56.25">
      <c r="A37" s="82">
        <v>22</v>
      </c>
      <c r="B37" s="83" t="s">
        <v>24</v>
      </c>
      <c r="C37" s="64">
        <f>SUM(D37:F39)</f>
        <v>42</v>
      </c>
      <c r="D37" s="65">
        <f>SUM(G37:X37)</f>
        <v>14</v>
      </c>
      <c r="E37" s="65"/>
      <c r="F37" s="66"/>
      <c r="G37" s="67">
        <v>2</v>
      </c>
      <c r="H37" s="68"/>
      <c r="I37" s="68">
        <v>2</v>
      </c>
      <c r="J37" s="67"/>
      <c r="K37" s="64">
        <v>2</v>
      </c>
      <c r="L37" s="65"/>
      <c r="M37" s="65">
        <v>2</v>
      </c>
      <c r="N37" s="65"/>
      <c r="O37" s="65">
        <v>2</v>
      </c>
      <c r="P37" s="65"/>
      <c r="Q37" s="64">
        <v>2</v>
      </c>
      <c r="R37" s="64"/>
      <c r="S37" s="65">
        <v>2</v>
      </c>
      <c r="T37" s="66"/>
      <c r="U37" s="64"/>
      <c r="V37" s="65"/>
      <c r="W37" s="65"/>
      <c r="X37" s="65"/>
      <c r="Y37" s="64"/>
      <c r="Z37" s="65"/>
      <c r="AA37" s="65"/>
      <c r="AB37" s="65"/>
      <c r="AC37" s="65"/>
      <c r="AD37" s="65"/>
      <c r="AE37" s="66" t="s">
        <v>20</v>
      </c>
      <c r="AM37" s="11"/>
      <c r="AN37" s="11"/>
      <c r="AO37" s="11"/>
      <c r="AP37" s="11"/>
      <c r="AQ37" s="11"/>
      <c r="AR37" s="11"/>
    </row>
    <row r="38" spans="1:44" s="4" customFormat="1">
      <c r="A38" s="84"/>
      <c r="B38" s="85"/>
      <c r="C38" s="71"/>
      <c r="D38" s="72"/>
      <c r="E38" s="72">
        <f>SUM(G38:X38)</f>
        <v>28</v>
      </c>
      <c r="F38" s="73"/>
      <c r="G38" s="71">
        <v>2</v>
      </c>
      <c r="H38" s="71">
        <v>2</v>
      </c>
      <c r="I38" s="71">
        <v>2</v>
      </c>
      <c r="J38" s="71">
        <v>2</v>
      </c>
      <c r="K38" s="71">
        <v>2</v>
      </c>
      <c r="L38" s="71">
        <v>2</v>
      </c>
      <c r="M38" s="71">
        <v>2</v>
      </c>
      <c r="N38" s="71">
        <v>2</v>
      </c>
      <c r="O38" s="71">
        <v>2</v>
      </c>
      <c r="P38" s="71">
        <v>2</v>
      </c>
      <c r="Q38" s="71">
        <v>2</v>
      </c>
      <c r="R38" s="71">
        <v>2</v>
      </c>
      <c r="S38" s="71">
        <v>2</v>
      </c>
      <c r="T38" s="73">
        <v>2</v>
      </c>
      <c r="U38" s="71"/>
      <c r="V38" s="71"/>
      <c r="W38" s="71"/>
      <c r="X38" s="72"/>
      <c r="Y38" s="71"/>
      <c r="Z38" s="72"/>
      <c r="AA38" s="72"/>
      <c r="AB38" s="72"/>
      <c r="AC38" s="72"/>
      <c r="AD38" s="72"/>
      <c r="AE38" s="76"/>
      <c r="AM38" s="12"/>
      <c r="AN38" s="96"/>
      <c r="AO38" s="108"/>
      <c r="AP38" s="108"/>
      <c r="AQ38" s="11"/>
      <c r="AR38" s="11"/>
    </row>
    <row r="39" spans="1:44" s="4" customFormat="1" ht="19.5" thickBot="1">
      <c r="A39" s="88"/>
      <c r="B39" s="89"/>
      <c r="C39" s="79"/>
      <c r="D39" s="80"/>
      <c r="E39" s="80"/>
      <c r="F39" s="81">
        <f>SUM(G39:X39)</f>
        <v>0</v>
      </c>
      <c r="G39" s="86"/>
      <c r="H39" s="87"/>
      <c r="I39" s="86"/>
      <c r="J39" s="79"/>
      <c r="K39" s="86"/>
      <c r="L39" s="72"/>
      <c r="M39" s="72"/>
      <c r="N39" s="72"/>
      <c r="O39" s="72"/>
      <c r="P39" s="72"/>
      <c r="Q39" s="71"/>
      <c r="R39" s="71"/>
      <c r="S39" s="72"/>
      <c r="T39" s="73"/>
      <c r="U39" s="79"/>
      <c r="V39" s="80"/>
      <c r="W39" s="80"/>
      <c r="X39" s="87"/>
      <c r="Y39" s="86"/>
      <c r="Z39" s="87"/>
      <c r="AA39" s="87"/>
      <c r="AB39" s="87"/>
      <c r="AC39" s="87"/>
      <c r="AD39" s="87"/>
      <c r="AE39" s="81">
        <v>36</v>
      </c>
      <c r="AM39" s="12"/>
      <c r="AN39" s="96"/>
      <c r="AO39" s="108"/>
      <c r="AP39" s="108"/>
      <c r="AQ39" s="11"/>
      <c r="AR39" s="11"/>
    </row>
    <row r="40" spans="1:44" s="4" customFormat="1" ht="19.5" customHeight="1" thickBot="1">
      <c r="A40" s="109" t="s">
        <v>28</v>
      </c>
      <c r="B40" s="110"/>
      <c r="C40" s="110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10"/>
      <c r="Y40" s="110"/>
      <c r="Z40" s="110"/>
      <c r="AA40" s="110"/>
      <c r="AB40" s="110"/>
      <c r="AC40" s="110"/>
      <c r="AD40" s="110"/>
      <c r="AE40" s="111"/>
      <c r="AM40" s="12"/>
      <c r="AN40" s="96"/>
      <c r="AO40" s="108"/>
      <c r="AP40" s="108"/>
      <c r="AQ40" s="11"/>
      <c r="AR40" s="11"/>
    </row>
    <row r="41" spans="1:44" s="4" customFormat="1" ht="37.5">
      <c r="A41" s="82">
        <v>22</v>
      </c>
      <c r="B41" s="83" t="s">
        <v>27</v>
      </c>
      <c r="C41" s="64">
        <f t="shared" ref="C41" si="16">SUM(D41:F43)</f>
        <v>48</v>
      </c>
      <c r="D41" s="65">
        <f t="shared" ref="D41" si="17">SUM(G41:X41)</f>
        <v>16</v>
      </c>
      <c r="E41" s="65"/>
      <c r="F41" s="66"/>
      <c r="G41" s="67">
        <v>2</v>
      </c>
      <c r="H41" s="68"/>
      <c r="I41" s="68">
        <v>2</v>
      </c>
      <c r="J41" s="67"/>
      <c r="K41" s="64">
        <v>2</v>
      </c>
      <c r="L41" s="65"/>
      <c r="M41" s="65">
        <v>2</v>
      </c>
      <c r="N41" s="65"/>
      <c r="O41" s="65">
        <v>2</v>
      </c>
      <c r="P41" s="65"/>
      <c r="Q41" s="64">
        <v>2</v>
      </c>
      <c r="R41" s="64"/>
      <c r="S41" s="65">
        <v>2</v>
      </c>
      <c r="T41" s="65"/>
      <c r="U41" s="65">
        <v>2</v>
      </c>
      <c r="V41" s="66"/>
      <c r="W41" s="64"/>
      <c r="X41" s="65"/>
      <c r="Y41" s="64"/>
      <c r="Z41" s="65"/>
      <c r="AA41" s="65"/>
      <c r="AB41" s="65"/>
      <c r="AC41" s="65"/>
      <c r="AD41" s="65"/>
      <c r="AE41" s="66" t="s">
        <v>20</v>
      </c>
      <c r="AM41" s="11"/>
      <c r="AN41" s="11"/>
      <c r="AO41" s="11"/>
      <c r="AP41" s="11"/>
      <c r="AQ41" s="11"/>
      <c r="AR41" s="11"/>
    </row>
    <row r="42" spans="1:44" s="4" customFormat="1">
      <c r="A42" s="84"/>
      <c r="B42" s="85"/>
      <c r="C42" s="71"/>
      <c r="D42" s="72"/>
      <c r="E42" s="72">
        <f t="shared" ref="E42" si="18">SUM(G42:X42)</f>
        <v>32</v>
      </c>
      <c r="F42" s="73"/>
      <c r="G42" s="71"/>
      <c r="H42" s="71">
        <v>4</v>
      </c>
      <c r="I42" s="71"/>
      <c r="J42" s="71">
        <v>4</v>
      </c>
      <c r="K42" s="71"/>
      <c r="L42" s="71">
        <v>4</v>
      </c>
      <c r="M42" s="71"/>
      <c r="N42" s="71">
        <v>4</v>
      </c>
      <c r="O42" s="71"/>
      <c r="P42" s="71">
        <v>4</v>
      </c>
      <c r="Q42" s="71"/>
      <c r="R42" s="71">
        <v>4</v>
      </c>
      <c r="S42" s="71"/>
      <c r="T42" s="71">
        <v>4</v>
      </c>
      <c r="U42" s="71"/>
      <c r="V42" s="73">
        <v>4</v>
      </c>
      <c r="W42" s="71"/>
      <c r="X42" s="72"/>
      <c r="Y42" s="71"/>
      <c r="Z42" s="72"/>
      <c r="AA42" s="72"/>
      <c r="AB42" s="72"/>
      <c r="AC42" s="72"/>
      <c r="AD42" s="72"/>
      <c r="AE42" s="76"/>
      <c r="AM42" s="12"/>
      <c r="AN42" s="96"/>
      <c r="AO42" s="108"/>
      <c r="AP42" s="108"/>
      <c r="AQ42" s="11"/>
      <c r="AR42" s="11"/>
    </row>
    <row r="43" spans="1:44" s="4" customFormat="1" ht="19.5" thickBot="1">
      <c r="A43" s="88"/>
      <c r="B43" s="89"/>
      <c r="C43" s="79"/>
      <c r="D43" s="80"/>
      <c r="E43" s="80"/>
      <c r="F43" s="81">
        <f t="shared" ref="F43" si="19">SUM(G43:X43)</f>
        <v>0</v>
      </c>
      <c r="G43" s="79"/>
      <c r="H43" s="80"/>
      <c r="I43" s="80"/>
      <c r="J43" s="79"/>
      <c r="K43" s="79"/>
      <c r="L43" s="80"/>
      <c r="M43" s="80"/>
      <c r="N43" s="80"/>
      <c r="O43" s="80"/>
      <c r="P43" s="80"/>
      <c r="Q43" s="86"/>
      <c r="R43" s="86"/>
      <c r="S43" s="87"/>
      <c r="T43" s="87"/>
      <c r="U43" s="87"/>
      <c r="V43" s="92"/>
      <c r="W43" s="86"/>
      <c r="X43" s="87"/>
      <c r="Y43" s="86"/>
      <c r="Z43" s="87"/>
      <c r="AA43" s="87"/>
      <c r="AB43" s="87"/>
      <c r="AC43" s="87"/>
      <c r="AD43" s="87"/>
      <c r="AE43" s="81">
        <v>36</v>
      </c>
      <c r="AM43" s="12"/>
      <c r="AN43" s="96"/>
      <c r="AO43" s="108"/>
      <c r="AP43" s="108"/>
      <c r="AQ43" s="11"/>
      <c r="AR43" s="11"/>
    </row>
    <row r="44" spans="1:44" s="4" customFormat="1" ht="19.5" thickBot="1">
      <c r="A44" s="109" t="s">
        <v>31</v>
      </c>
      <c r="B44" s="110"/>
      <c r="C44" s="110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10"/>
      <c r="Y44" s="110"/>
      <c r="Z44" s="110"/>
      <c r="AA44" s="110"/>
      <c r="AB44" s="110"/>
      <c r="AC44" s="110"/>
      <c r="AD44" s="110"/>
      <c r="AE44" s="111"/>
      <c r="AM44" s="11"/>
      <c r="AN44" s="11"/>
      <c r="AO44" s="11"/>
      <c r="AP44" s="11"/>
      <c r="AQ44" s="11"/>
      <c r="AR44" s="11"/>
    </row>
    <row r="45" spans="1:44" s="4" customFormat="1" ht="56.25">
      <c r="A45" s="62">
        <v>22</v>
      </c>
      <c r="B45" s="63" t="s">
        <v>29</v>
      </c>
      <c r="C45" s="64">
        <f>SUM(D45:F47)</f>
        <v>54</v>
      </c>
      <c r="D45" s="65">
        <f>SUM(G45:X45)</f>
        <v>18</v>
      </c>
      <c r="E45" s="65"/>
      <c r="F45" s="66"/>
      <c r="G45" s="64">
        <v>2</v>
      </c>
      <c r="H45" s="65"/>
      <c r="I45" s="65">
        <v>2</v>
      </c>
      <c r="J45" s="65"/>
      <c r="K45" s="64">
        <v>2</v>
      </c>
      <c r="L45" s="65"/>
      <c r="M45" s="65">
        <v>2</v>
      </c>
      <c r="N45" s="65"/>
      <c r="O45" s="65">
        <v>2</v>
      </c>
      <c r="P45" s="65"/>
      <c r="Q45" s="64">
        <v>2</v>
      </c>
      <c r="R45" s="64"/>
      <c r="S45" s="65">
        <v>2</v>
      </c>
      <c r="T45" s="65"/>
      <c r="U45" s="65">
        <v>2</v>
      </c>
      <c r="V45" s="65"/>
      <c r="W45" s="65">
        <v>2</v>
      </c>
      <c r="X45" s="66"/>
      <c r="Y45" s="64"/>
      <c r="Z45" s="65"/>
      <c r="AA45" s="65"/>
      <c r="AB45" s="65"/>
      <c r="AC45" s="65"/>
      <c r="AD45" s="65"/>
      <c r="AE45" s="66" t="s">
        <v>30</v>
      </c>
    </row>
    <row r="46" spans="1:44" s="4" customFormat="1" ht="19.5">
      <c r="A46" s="69"/>
      <c r="B46" s="70"/>
      <c r="C46" s="71"/>
      <c r="D46" s="72"/>
      <c r="E46" s="72">
        <f>SUM(G46:X46)</f>
        <v>36</v>
      </c>
      <c r="F46" s="73"/>
      <c r="G46" s="71">
        <v>2</v>
      </c>
      <c r="H46" s="71">
        <v>2</v>
      </c>
      <c r="I46" s="71">
        <v>2</v>
      </c>
      <c r="J46" s="71">
        <v>2</v>
      </c>
      <c r="K46" s="71">
        <v>2</v>
      </c>
      <c r="L46" s="71">
        <v>2</v>
      </c>
      <c r="M46" s="71">
        <v>2</v>
      </c>
      <c r="N46" s="71">
        <v>2</v>
      </c>
      <c r="O46" s="71">
        <v>2</v>
      </c>
      <c r="P46" s="71">
        <v>2</v>
      </c>
      <c r="Q46" s="71">
        <v>2</v>
      </c>
      <c r="R46" s="71">
        <v>2</v>
      </c>
      <c r="S46" s="71">
        <v>2</v>
      </c>
      <c r="T46" s="71">
        <v>2</v>
      </c>
      <c r="U46" s="71">
        <v>2</v>
      </c>
      <c r="V46" s="71">
        <v>2</v>
      </c>
      <c r="W46" s="71">
        <v>2</v>
      </c>
      <c r="X46" s="73">
        <v>2</v>
      </c>
      <c r="Y46" s="71"/>
      <c r="Z46" s="72"/>
      <c r="AA46" s="72"/>
      <c r="AB46" s="72"/>
      <c r="AC46" s="72"/>
      <c r="AD46" s="72"/>
      <c r="AE46" s="76"/>
    </row>
    <row r="47" spans="1:44" s="4" customFormat="1" ht="21.75" customHeight="1" thickBot="1">
      <c r="A47" s="77"/>
      <c r="B47" s="78"/>
      <c r="C47" s="79"/>
      <c r="D47" s="80"/>
      <c r="E47" s="80"/>
      <c r="F47" s="81">
        <f>SUM(G47:X47)</f>
        <v>0</v>
      </c>
      <c r="G47" s="79"/>
      <c r="H47" s="80"/>
      <c r="I47" s="80"/>
      <c r="J47" s="80"/>
      <c r="K47" s="79"/>
      <c r="L47" s="80"/>
      <c r="M47" s="80"/>
      <c r="N47" s="80"/>
      <c r="O47" s="80"/>
      <c r="P47" s="80"/>
      <c r="Q47" s="79"/>
      <c r="R47" s="79"/>
      <c r="S47" s="80"/>
      <c r="T47" s="80"/>
      <c r="U47" s="80"/>
      <c r="V47" s="80"/>
      <c r="W47" s="80"/>
      <c r="X47" s="81"/>
      <c r="Y47" s="79"/>
      <c r="Z47" s="80"/>
      <c r="AA47" s="80"/>
      <c r="AB47" s="80"/>
      <c r="AC47" s="80"/>
      <c r="AD47" s="80"/>
      <c r="AE47" s="81">
        <v>36</v>
      </c>
      <c r="AM47" s="11"/>
      <c r="AN47" s="11"/>
      <c r="AO47" s="11"/>
      <c r="AP47" s="11"/>
      <c r="AQ47" s="11"/>
      <c r="AR47" s="11"/>
    </row>
    <row r="48" spans="1:44" s="4" customFormat="1" ht="19.5" thickBot="1">
      <c r="A48" s="109" t="s">
        <v>34</v>
      </c>
      <c r="B48" s="110"/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10"/>
      <c r="Y48" s="110"/>
      <c r="Z48" s="110"/>
      <c r="AA48" s="110"/>
      <c r="AB48" s="110"/>
      <c r="AC48" s="110"/>
      <c r="AD48" s="110"/>
      <c r="AE48" s="111"/>
      <c r="AM48" s="12"/>
      <c r="AN48" s="96"/>
      <c r="AO48" s="98"/>
      <c r="AP48" s="98"/>
      <c r="AQ48" s="11"/>
      <c r="AR48" s="11"/>
    </row>
    <row r="49" spans="1:44" s="4" customFormat="1" ht="56.25">
      <c r="A49" s="82">
        <v>22</v>
      </c>
      <c r="B49" s="83" t="s">
        <v>29</v>
      </c>
      <c r="C49" s="64">
        <f>SUM(D49:F51)</f>
        <v>56</v>
      </c>
      <c r="D49" s="65">
        <f>SUM(G49:X49)</f>
        <v>28</v>
      </c>
      <c r="E49" s="65"/>
      <c r="F49" s="66"/>
      <c r="G49" s="67">
        <v>2</v>
      </c>
      <c r="H49" s="67">
        <v>2</v>
      </c>
      <c r="I49" s="67">
        <v>2</v>
      </c>
      <c r="J49" s="67">
        <v>2</v>
      </c>
      <c r="K49" s="67">
        <v>2</v>
      </c>
      <c r="L49" s="67">
        <v>2</v>
      </c>
      <c r="M49" s="67">
        <v>2</v>
      </c>
      <c r="N49" s="67">
        <v>2</v>
      </c>
      <c r="O49" s="67">
        <v>2</v>
      </c>
      <c r="P49" s="67">
        <v>2</v>
      </c>
      <c r="Q49" s="67">
        <v>2</v>
      </c>
      <c r="R49" s="67">
        <v>2</v>
      </c>
      <c r="S49" s="67">
        <v>2</v>
      </c>
      <c r="T49" s="66">
        <v>2</v>
      </c>
      <c r="U49" s="64"/>
      <c r="V49" s="65"/>
      <c r="W49" s="65"/>
      <c r="X49" s="65"/>
      <c r="Y49" s="64"/>
      <c r="Z49" s="65"/>
      <c r="AA49" s="65"/>
      <c r="AB49" s="65"/>
      <c r="AC49" s="65"/>
      <c r="AD49" s="65"/>
      <c r="AE49" s="66" t="s">
        <v>32</v>
      </c>
      <c r="AM49" s="11"/>
      <c r="AN49" s="11"/>
      <c r="AO49" s="11"/>
      <c r="AP49" s="11"/>
      <c r="AQ49" s="11"/>
      <c r="AR49" s="11"/>
    </row>
    <row r="50" spans="1:44" s="4" customFormat="1" ht="19.5">
      <c r="A50" s="84"/>
      <c r="B50" s="100" t="s">
        <v>33</v>
      </c>
      <c r="C50" s="71"/>
      <c r="D50" s="72"/>
      <c r="E50" s="72">
        <f>SUM(G50:X50)</f>
        <v>28</v>
      </c>
      <c r="F50" s="73"/>
      <c r="G50" s="71">
        <v>2</v>
      </c>
      <c r="H50" s="71">
        <v>2</v>
      </c>
      <c r="I50" s="71">
        <v>2</v>
      </c>
      <c r="J50" s="71">
        <v>2</v>
      </c>
      <c r="K50" s="71">
        <v>2</v>
      </c>
      <c r="L50" s="71">
        <v>2</v>
      </c>
      <c r="M50" s="71">
        <v>2</v>
      </c>
      <c r="N50" s="71">
        <v>2</v>
      </c>
      <c r="O50" s="71">
        <v>2</v>
      </c>
      <c r="P50" s="71">
        <v>2</v>
      </c>
      <c r="Q50" s="71">
        <v>2</v>
      </c>
      <c r="R50" s="71">
        <v>2</v>
      </c>
      <c r="S50" s="71">
        <v>2</v>
      </c>
      <c r="T50" s="73">
        <v>2</v>
      </c>
      <c r="U50" s="71"/>
      <c r="V50" s="71"/>
      <c r="W50" s="71"/>
      <c r="X50" s="72"/>
      <c r="Y50" s="71"/>
      <c r="Z50" s="72"/>
      <c r="AA50" s="72"/>
      <c r="AB50" s="72"/>
      <c r="AC50" s="72"/>
      <c r="AD50" s="72"/>
      <c r="AE50" s="76"/>
      <c r="AM50" s="12"/>
      <c r="AN50" s="96"/>
      <c r="AO50" s="108"/>
      <c r="AP50" s="108"/>
      <c r="AQ50" s="11"/>
      <c r="AR50" s="11"/>
    </row>
    <row r="51" spans="1:44" s="4" customFormat="1" ht="19.5" thickBot="1">
      <c r="A51" s="88"/>
      <c r="B51" s="89"/>
      <c r="C51" s="79"/>
      <c r="D51" s="80"/>
      <c r="E51" s="80"/>
      <c r="F51" s="81">
        <f>SUM(G51:X51)</f>
        <v>0</v>
      </c>
      <c r="G51" s="79"/>
      <c r="H51" s="80"/>
      <c r="I51" s="80"/>
      <c r="J51" s="79"/>
      <c r="K51" s="79"/>
      <c r="L51" s="80"/>
      <c r="M51" s="80"/>
      <c r="N51" s="80"/>
      <c r="O51" s="80"/>
      <c r="P51" s="80"/>
      <c r="Q51" s="79"/>
      <c r="R51" s="79"/>
      <c r="S51" s="80"/>
      <c r="T51" s="81"/>
      <c r="U51" s="79"/>
      <c r="V51" s="80"/>
      <c r="W51" s="80"/>
      <c r="X51" s="87"/>
      <c r="Y51" s="86"/>
      <c r="Z51" s="87"/>
      <c r="AA51" s="87"/>
      <c r="AB51" s="87"/>
      <c r="AC51" s="87"/>
      <c r="AD51" s="87"/>
      <c r="AE51" s="81">
        <v>18</v>
      </c>
      <c r="AM51" s="12"/>
      <c r="AN51" s="96"/>
      <c r="AO51" s="108"/>
      <c r="AP51" s="108"/>
      <c r="AQ51" s="11"/>
      <c r="AR51" s="11"/>
    </row>
    <row r="52" spans="1:44" s="4" customFormat="1" ht="19.5" thickBot="1">
      <c r="A52" s="109" t="s">
        <v>36</v>
      </c>
      <c r="B52" s="110"/>
      <c r="C52" s="110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10"/>
      <c r="Y52" s="110"/>
      <c r="Z52" s="110"/>
      <c r="AA52" s="110"/>
      <c r="AB52" s="110"/>
      <c r="AC52" s="110"/>
      <c r="AD52" s="110"/>
      <c r="AE52" s="111"/>
      <c r="AM52" s="12"/>
      <c r="AN52" s="96"/>
      <c r="AO52" s="108"/>
      <c r="AP52" s="108"/>
      <c r="AQ52" s="11"/>
      <c r="AR52" s="11"/>
    </row>
    <row r="53" spans="1:44" s="4" customFormat="1" ht="56.25">
      <c r="A53" s="62">
        <v>22</v>
      </c>
      <c r="B53" s="63" t="s">
        <v>29</v>
      </c>
      <c r="C53" s="64">
        <f>SUM(D53:F55)</f>
        <v>42</v>
      </c>
      <c r="D53" s="65">
        <f>SUM(G53:X53)</f>
        <v>14</v>
      </c>
      <c r="E53" s="65"/>
      <c r="F53" s="66"/>
      <c r="G53" s="64">
        <v>2</v>
      </c>
      <c r="H53" s="65"/>
      <c r="I53" s="65">
        <v>2</v>
      </c>
      <c r="J53" s="65"/>
      <c r="K53" s="64">
        <v>2</v>
      </c>
      <c r="L53" s="65"/>
      <c r="M53" s="65">
        <v>2</v>
      </c>
      <c r="N53" s="65"/>
      <c r="O53" s="65">
        <v>2</v>
      </c>
      <c r="P53" s="65"/>
      <c r="Q53" s="64">
        <v>2</v>
      </c>
      <c r="R53" s="64"/>
      <c r="S53" s="65">
        <v>2</v>
      </c>
      <c r="T53" s="66"/>
      <c r="U53" s="64"/>
      <c r="V53" s="65"/>
      <c r="W53" s="65"/>
      <c r="X53" s="65"/>
      <c r="Y53" s="64"/>
      <c r="Z53" s="65"/>
      <c r="AA53" s="65"/>
      <c r="AB53" s="65"/>
      <c r="AC53" s="65"/>
      <c r="AD53" s="65"/>
      <c r="AE53" s="66" t="s">
        <v>35</v>
      </c>
    </row>
    <row r="54" spans="1:44" s="4" customFormat="1" ht="19.5">
      <c r="A54" s="69"/>
      <c r="B54" s="70"/>
      <c r="C54" s="71"/>
      <c r="D54" s="72"/>
      <c r="E54" s="72">
        <f>SUM(G54:X54)</f>
        <v>28</v>
      </c>
      <c r="F54" s="73"/>
      <c r="G54" s="71"/>
      <c r="H54" s="72">
        <v>4</v>
      </c>
      <c r="I54" s="72"/>
      <c r="J54" s="72">
        <v>4</v>
      </c>
      <c r="K54" s="74"/>
      <c r="L54" s="75">
        <v>4</v>
      </c>
      <c r="M54" s="75"/>
      <c r="N54" s="75">
        <v>4</v>
      </c>
      <c r="O54" s="75"/>
      <c r="P54" s="75">
        <v>4</v>
      </c>
      <c r="Q54" s="75"/>
      <c r="R54" s="75">
        <v>4</v>
      </c>
      <c r="S54" s="75"/>
      <c r="T54" s="103">
        <v>4</v>
      </c>
      <c r="U54" s="74"/>
      <c r="V54" s="75"/>
      <c r="W54" s="75"/>
      <c r="X54" s="72"/>
      <c r="Y54" s="71"/>
      <c r="Z54" s="72"/>
      <c r="AA54" s="72"/>
      <c r="AB54" s="72"/>
      <c r="AC54" s="72"/>
      <c r="AD54" s="72"/>
      <c r="AE54" s="76"/>
    </row>
    <row r="55" spans="1:44" s="4" customFormat="1" ht="21.75" customHeight="1" thickBot="1">
      <c r="A55" s="77"/>
      <c r="B55" s="78"/>
      <c r="C55" s="79"/>
      <c r="D55" s="80"/>
      <c r="E55" s="80"/>
      <c r="F55" s="81">
        <f>SUM(G55:X55)</f>
        <v>0</v>
      </c>
      <c r="G55" s="79"/>
      <c r="H55" s="80"/>
      <c r="I55" s="80"/>
      <c r="J55" s="80"/>
      <c r="K55" s="79"/>
      <c r="L55" s="80"/>
      <c r="M55" s="80"/>
      <c r="N55" s="80"/>
      <c r="O55" s="80"/>
      <c r="P55" s="80"/>
      <c r="Q55" s="79"/>
      <c r="R55" s="79"/>
      <c r="S55" s="80"/>
      <c r="T55" s="81"/>
      <c r="U55" s="79"/>
      <c r="V55" s="80"/>
      <c r="W55" s="80"/>
      <c r="X55" s="80"/>
      <c r="Y55" s="79"/>
      <c r="Z55" s="80"/>
      <c r="AA55" s="80"/>
      <c r="AB55" s="80"/>
      <c r="AC55" s="80"/>
      <c r="AD55" s="80"/>
      <c r="AE55" s="81">
        <v>9</v>
      </c>
      <c r="AM55" s="11"/>
      <c r="AN55" s="11"/>
      <c r="AO55" s="11"/>
      <c r="AP55" s="11"/>
      <c r="AQ55" s="11"/>
      <c r="AR55" s="11"/>
    </row>
    <row r="56" spans="1:44" s="4" customFormat="1" ht="21.75" customHeight="1" thickBot="1">
      <c r="A56" s="143" t="s">
        <v>37</v>
      </c>
      <c r="B56" s="143"/>
      <c r="C56" s="143"/>
      <c r="D56" s="143"/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M56" s="11"/>
      <c r="AN56" s="11"/>
      <c r="AO56" s="11"/>
      <c r="AP56" s="11"/>
      <c r="AQ56" s="11"/>
      <c r="AR56" s="11"/>
    </row>
    <row r="57" spans="1:44" s="4" customFormat="1" ht="19.5" customHeight="1" thickBot="1">
      <c r="A57" s="112" t="s">
        <v>47</v>
      </c>
      <c r="B57" s="112"/>
      <c r="C57" s="112"/>
      <c r="D57" s="112"/>
      <c r="E57" s="112"/>
      <c r="F57" s="112"/>
      <c r="G57" s="112"/>
      <c r="H57" s="112"/>
      <c r="I57" s="112"/>
      <c r="J57" s="112"/>
      <c r="K57" s="113"/>
      <c r="L57" s="113"/>
      <c r="M57" s="113"/>
      <c r="N57" s="113"/>
      <c r="O57" s="113"/>
      <c r="P57" s="113"/>
      <c r="Q57" s="112"/>
      <c r="R57" s="112"/>
      <c r="S57" s="112"/>
      <c r="T57" s="112"/>
      <c r="U57" s="112"/>
      <c r="V57" s="112"/>
      <c r="W57" s="112"/>
      <c r="X57" s="112"/>
      <c r="Y57" s="112"/>
      <c r="Z57" s="112"/>
      <c r="AA57" s="112"/>
      <c r="AB57" s="112"/>
      <c r="AC57" s="112"/>
      <c r="AD57" s="112"/>
      <c r="AE57" s="112"/>
      <c r="AM57" s="12"/>
      <c r="AN57" s="96"/>
      <c r="AO57" s="108"/>
      <c r="AP57" s="108"/>
      <c r="AQ57" s="11"/>
      <c r="AR57" s="11"/>
    </row>
    <row r="58" spans="1:44" s="4" customFormat="1" ht="37.5">
      <c r="A58" s="82">
        <v>22</v>
      </c>
      <c r="B58" s="83" t="s">
        <v>45</v>
      </c>
      <c r="C58" s="64">
        <f t="shared" ref="C58" si="20">SUM(D58:F60)</f>
        <v>72</v>
      </c>
      <c r="D58" s="65">
        <f t="shared" ref="D58" si="21">SUM(G58:AD58)</f>
        <v>36</v>
      </c>
      <c r="E58" s="65"/>
      <c r="F58" s="66"/>
      <c r="G58" s="67">
        <v>2</v>
      </c>
      <c r="H58" s="67">
        <v>2</v>
      </c>
      <c r="I58" s="67">
        <v>2</v>
      </c>
      <c r="J58" s="67">
        <v>2</v>
      </c>
      <c r="K58" s="67">
        <v>2</v>
      </c>
      <c r="L58" s="67">
        <v>2</v>
      </c>
      <c r="M58" s="67">
        <v>2</v>
      </c>
      <c r="N58" s="67">
        <v>2</v>
      </c>
      <c r="O58" s="67">
        <v>2</v>
      </c>
      <c r="P58" s="67">
        <v>2</v>
      </c>
      <c r="Q58" s="67">
        <v>2</v>
      </c>
      <c r="R58" s="67">
        <v>2</v>
      </c>
      <c r="S58" s="67">
        <v>2</v>
      </c>
      <c r="T58" s="67">
        <v>2</v>
      </c>
      <c r="U58" s="67">
        <v>2</v>
      </c>
      <c r="V58" s="67">
        <v>2</v>
      </c>
      <c r="W58" s="67">
        <v>2</v>
      </c>
      <c r="X58" s="67">
        <v>2</v>
      </c>
      <c r="Y58" s="64"/>
      <c r="Z58" s="65"/>
      <c r="AA58" s="65"/>
      <c r="AB58" s="65"/>
      <c r="AC58" s="65"/>
      <c r="AD58" s="65"/>
      <c r="AE58" s="66" t="s">
        <v>30</v>
      </c>
      <c r="AM58" s="11"/>
      <c r="AN58" s="11"/>
      <c r="AO58" s="11"/>
      <c r="AP58" s="11"/>
      <c r="AQ58" s="11"/>
      <c r="AR58" s="11"/>
    </row>
    <row r="59" spans="1:44" s="4" customFormat="1">
      <c r="A59" s="84"/>
      <c r="B59" s="85"/>
      <c r="C59" s="71"/>
      <c r="D59" s="72"/>
      <c r="E59" s="72">
        <f t="shared" ref="E59" si="22">SUM(G59:AD59)</f>
        <v>36</v>
      </c>
      <c r="F59" s="73"/>
      <c r="G59" s="71">
        <v>2</v>
      </c>
      <c r="H59" s="71">
        <v>2</v>
      </c>
      <c r="I59" s="71">
        <v>2</v>
      </c>
      <c r="J59" s="71">
        <v>2</v>
      </c>
      <c r="K59" s="71">
        <v>2</v>
      </c>
      <c r="L59" s="71">
        <v>2</v>
      </c>
      <c r="M59" s="71">
        <v>2</v>
      </c>
      <c r="N59" s="71">
        <v>2</v>
      </c>
      <c r="O59" s="71">
        <v>2</v>
      </c>
      <c r="P59" s="71">
        <v>2</v>
      </c>
      <c r="Q59" s="71">
        <v>2</v>
      </c>
      <c r="R59" s="71">
        <v>2</v>
      </c>
      <c r="S59" s="71">
        <v>2</v>
      </c>
      <c r="T59" s="71">
        <v>2</v>
      </c>
      <c r="U59" s="71">
        <v>2</v>
      </c>
      <c r="V59" s="71">
        <v>2</v>
      </c>
      <c r="W59" s="71">
        <v>2</v>
      </c>
      <c r="X59" s="72">
        <v>2</v>
      </c>
      <c r="Y59" s="71"/>
      <c r="Z59" s="72"/>
      <c r="AA59" s="72"/>
      <c r="AB59" s="72"/>
      <c r="AC59" s="72"/>
      <c r="AD59" s="72"/>
      <c r="AE59" s="76" t="s">
        <v>46</v>
      </c>
      <c r="AM59" s="12"/>
      <c r="AN59" s="96"/>
      <c r="AO59" s="108"/>
      <c r="AP59" s="108"/>
      <c r="AQ59" s="11"/>
      <c r="AR59" s="11"/>
    </row>
    <row r="60" spans="1:44" s="4" customFormat="1" ht="19.5" thickBot="1">
      <c r="A60" s="88"/>
      <c r="B60" s="89"/>
      <c r="C60" s="79"/>
      <c r="D60" s="80"/>
      <c r="E60" s="80"/>
      <c r="F60" s="81">
        <f t="shared" ref="F60" si="23">SUM(G60:AD60)</f>
        <v>0</v>
      </c>
      <c r="G60" s="79"/>
      <c r="H60" s="80"/>
      <c r="I60" s="80"/>
      <c r="J60" s="79"/>
      <c r="K60" s="79"/>
      <c r="L60" s="80"/>
      <c r="M60" s="80"/>
      <c r="N60" s="80"/>
      <c r="O60" s="80"/>
      <c r="P60" s="80"/>
      <c r="Q60" s="79"/>
      <c r="R60" s="79"/>
      <c r="S60" s="80"/>
      <c r="T60" s="80"/>
      <c r="U60" s="80"/>
      <c r="V60" s="80"/>
      <c r="W60" s="80"/>
      <c r="X60" s="80"/>
      <c r="Y60" s="79"/>
      <c r="Z60" s="87"/>
      <c r="AA60" s="87"/>
      <c r="AB60" s="87"/>
      <c r="AC60" s="87"/>
      <c r="AD60" s="87"/>
      <c r="AE60" s="81">
        <v>36</v>
      </c>
      <c r="AM60" s="12"/>
      <c r="AN60" s="96"/>
      <c r="AO60" s="108"/>
      <c r="AP60" s="108"/>
      <c r="AQ60" s="11"/>
      <c r="AR60" s="11"/>
    </row>
    <row r="61" spans="1:44" ht="56.25">
      <c r="A61" s="82">
        <v>22</v>
      </c>
      <c r="B61" s="83" t="s">
        <v>43</v>
      </c>
      <c r="C61" s="64">
        <f t="shared" ref="C61" si="24">SUM(D61:F63)</f>
        <v>36</v>
      </c>
      <c r="D61" s="65">
        <f t="shared" ref="D61" si="25">SUM(G61:AD61)</f>
        <v>18</v>
      </c>
      <c r="E61" s="65"/>
      <c r="F61" s="66"/>
      <c r="G61" s="67">
        <v>2</v>
      </c>
      <c r="H61" s="68"/>
      <c r="I61" s="68">
        <v>2</v>
      </c>
      <c r="J61" s="67"/>
      <c r="K61" s="64">
        <v>2</v>
      </c>
      <c r="L61" s="65"/>
      <c r="M61" s="65">
        <v>2</v>
      </c>
      <c r="N61" s="65"/>
      <c r="O61" s="65">
        <v>2</v>
      </c>
      <c r="P61" s="65"/>
      <c r="Q61" s="64">
        <v>2</v>
      </c>
      <c r="R61" s="64"/>
      <c r="S61" s="65">
        <v>2</v>
      </c>
      <c r="T61" s="65"/>
      <c r="U61" s="65">
        <v>2</v>
      </c>
      <c r="V61" s="65"/>
      <c r="W61" s="65">
        <v>2</v>
      </c>
      <c r="X61" s="65"/>
      <c r="Y61" s="65"/>
      <c r="Z61" s="65"/>
      <c r="AA61" s="65"/>
      <c r="AB61" s="65"/>
      <c r="AC61" s="65"/>
      <c r="AD61" s="65"/>
      <c r="AE61" s="66" t="s">
        <v>30</v>
      </c>
    </row>
    <row r="62" spans="1:44">
      <c r="A62" s="84"/>
      <c r="B62" s="85"/>
      <c r="C62" s="71"/>
      <c r="D62" s="72"/>
      <c r="E62" s="72">
        <f t="shared" ref="E62" si="26">SUM(G62:AD62)</f>
        <v>18</v>
      </c>
      <c r="F62" s="73"/>
      <c r="G62" s="105"/>
      <c r="H62" s="72">
        <v>2</v>
      </c>
      <c r="I62" s="71"/>
      <c r="J62" s="72">
        <v>2</v>
      </c>
      <c r="K62" s="71"/>
      <c r="L62" s="72">
        <v>2</v>
      </c>
      <c r="M62" s="72"/>
      <c r="N62" s="72">
        <v>2</v>
      </c>
      <c r="O62" s="72"/>
      <c r="P62" s="72">
        <v>2</v>
      </c>
      <c r="Q62" s="71"/>
      <c r="R62" s="71">
        <v>2</v>
      </c>
      <c r="S62" s="72"/>
      <c r="T62" s="72">
        <v>2</v>
      </c>
      <c r="U62" s="72"/>
      <c r="V62" s="72">
        <v>2</v>
      </c>
      <c r="W62" s="72"/>
      <c r="X62" s="72">
        <v>2</v>
      </c>
      <c r="Y62" s="72"/>
      <c r="Z62" s="72"/>
      <c r="AA62" s="72"/>
      <c r="AB62" s="72"/>
      <c r="AC62" s="72"/>
      <c r="AD62" s="72"/>
      <c r="AE62" s="76" t="s">
        <v>46</v>
      </c>
    </row>
    <row r="63" spans="1:44" ht="19.5" thickBot="1">
      <c r="A63" s="88"/>
      <c r="B63" s="89"/>
      <c r="C63" s="79"/>
      <c r="D63" s="80"/>
      <c r="E63" s="80"/>
      <c r="F63" s="81">
        <f t="shared" ref="F63" si="27">SUM(G63:AD63)</f>
        <v>0</v>
      </c>
      <c r="G63" s="86"/>
      <c r="H63" s="87"/>
      <c r="I63" s="86"/>
      <c r="J63" s="79"/>
      <c r="K63" s="86"/>
      <c r="L63" s="87"/>
      <c r="M63" s="87"/>
      <c r="N63" s="87"/>
      <c r="O63" s="87"/>
      <c r="P63" s="87"/>
      <c r="Q63" s="86"/>
      <c r="R63" s="86"/>
      <c r="S63" s="87"/>
      <c r="T63" s="87"/>
      <c r="U63" s="87"/>
      <c r="V63" s="87"/>
      <c r="W63" s="87"/>
      <c r="X63" s="87"/>
      <c r="Y63" s="87"/>
      <c r="Z63" s="87"/>
      <c r="AA63" s="87"/>
      <c r="AB63" s="87"/>
      <c r="AC63" s="87"/>
      <c r="AD63" s="87"/>
      <c r="AE63" s="81">
        <v>36</v>
      </c>
    </row>
    <row r="64" spans="1:44" s="4" customFormat="1" ht="19.5" thickBot="1">
      <c r="A64" s="109" t="s">
        <v>38</v>
      </c>
      <c r="B64" s="110"/>
      <c r="C64" s="110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10"/>
      <c r="Y64" s="110"/>
      <c r="Z64" s="110"/>
      <c r="AA64" s="110"/>
      <c r="AB64" s="110"/>
      <c r="AC64" s="110"/>
      <c r="AD64" s="110"/>
      <c r="AE64" s="111"/>
      <c r="AM64" s="12"/>
      <c r="AN64" s="96"/>
      <c r="AO64" s="107"/>
      <c r="AP64" s="107"/>
      <c r="AQ64" s="11"/>
      <c r="AR64" s="11"/>
    </row>
    <row r="65" spans="1:44" s="4" customFormat="1" ht="56.25">
      <c r="A65" s="82">
        <v>22</v>
      </c>
      <c r="B65" s="83" t="s">
        <v>29</v>
      </c>
      <c r="C65" s="64">
        <f t="shared" ref="C65" si="28">SUM(D65:F67)</f>
        <v>72</v>
      </c>
      <c r="D65" s="65">
        <f t="shared" ref="D65" si="29">SUM(G65:AD65)</f>
        <v>36</v>
      </c>
      <c r="E65" s="65"/>
      <c r="F65" s="66"/>
      <c r="G65" s="67">
        <v>4</v>
      </c>
      <c r="H65" s="67">
        <v>4</v>
      </c>
      <c r="I65" s="67">
        <v>4</v>
      </c>
      <c r="J65" s="67">
        <v>4</v>
      </c>
      <c r="K65" s="67">
        <v>4</v>
      </c>
      <c r="L65" s="67">
        <v>4</v>
      </c>
      <c r="M65" s="67">
        <v>4</v>
      </c>
      <c r="N65" s="67">
        <v>4</v>
      </c>
      <c r="O65" s="104">
        <v>4</v>
      </c>
      <c r="P65" s="64"/>
      <c r="Q65" s="64"/>
      <c r="R65" s="64"/>
      <c r="S65" s="65"/>
      <c r="T65" s="65"/>
      <c r="U65" s="65"/>
      <c r="V65" s="65"/>
      <c r="W65" s="65"/>
      <c r="X65" s="65"/>
      <c r="Y65" s="65"/>
      <c r="Z65" s="65"/>
      <c r="AA65" s="65"/>
      <c r="AB65" s="65"/>
      <c r="AC65" s="65"/>
      <c r="AD65" s="65"/>
      <c r="AE65" s="66" t="s">
        <v>32</v>
      </c>
      <c r="AM65" s="11"/>
      <c r="AN65" s="11"/>
      <c r="AO65" s="11"/>
      <c r="AP65" s="11"/>
      <c r="AQ65" s="11"/>
      <c r="AR65" s="11"/>
    </row>
    <row r="66" spans="1:44" s="4" customFormat="1">
      <c r="A66" s="84"/>
      <c r="B66" s="85"/>
      <c r="C66" s="71"/>
      <c r="D66" s="72"/>
      <c r="E66" s="72">
        <f t="shared" ref="E66" si="30">SUM(G66:AD66)</f>
        <v>36</v>
      </c>
      <c r="F66" s="73"/>
      <c r="G66" s="71">
        <v>4</v>
      </c>
      <c r="H66" s="71">
        <v>4</v>
      </c>
      <c r="I66" s="71">
        <v>4</v>
      </c>
      <c r="J66" s="71">
        <v>4</v>
      </c>
      <c r="K66" s="71">
        <v>4</v>
      </c>
      <c r="L66" s="71">
        <v>4</v>
      </c>
      <c r="M66" s="71">
        <v>4</v>
      </c>
      <c r="N66" s="71">
        <v>4</v>
      </c>
      <c r="O66" s="73">
        <v>4</v>
      </c>
      <c r="P66" s="71"/>
      <c r="Q66" s="71"/>
      <c r="R66" s="71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6"/>
      <c r="AM66" s="12"/>
      <c r="AN66" s="96"/>
      <c r="AO66" s="108"/>
      <c r="AP66" s="108"/>
      <c r="AQ66" s="11"/>
      <c r="AR66" s="11"/>
    </row>
    <row r="67" spans="1:44" s="4" customFormat="1" ht="19.5" thickBot="1">
      <c r="A67" s="84"/>
      <c r="B67" s="85"/>
      <c r="C67" s="79"/>
      <c r="D67" s="80"/>
      <c r="E67" s="80"/>
      <c r="F67" s="81">
        <f t="shared" ref="F67" si="31">SUM(G67:AD67)</f>
        <v>0</v>
      </c>
      <c r="G67" s="79"/>
      <c r="H67" s="80"/>
      <c r="I67" s="80"/>
      <c r="J67" s="79"/>
      <c r="K67" s="79"/>
      <c r="L67" s="80"/>
      <c r="M67" s="80"/>
      <c r="N67" s="80"/>
      <c r="O67" s="81"/>
      <c r="P67" s="71"/>
      <c r="Q67" s="71"/>
      <c r="R67" s="71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81">
        <v>9</v>
      </c>
      <c r="AM67" s="12"/>
      <c r="AN67" s="96"/>
      <c r="AO67" s="108"/>
      <c r="AP67" s="108"/>
      <c r="AQ67" s="11"/>
      <c r="AR67" s="11"/>
    </row>
    <row r="68" spans="1:44" s="4" customFormat="1" ht="19.5" thickBot="1">
      <c r="A68" s="109" t="s">
        <v>39</v>
      </c>
      <c r="B68" s="110"/>
      <c r="C68" s="110"/>
      <c r="D68" s="110"/>
      <c r="E68" s="110"/>
      <c r="F68" s="110"/>
      <c r="G68" s="110"/>
      <c r="H68" s="110"/>
      <c r="I68" s="110"/>
      <c r="J68" s="110"/>
      <c r="K68" s="110"/>
      <c r="L68" s="110"/>
      <c r="M68" s="110"/>
      <c r="N68" s="110"/>
      <c r="O68" s="110"/>
      <c r="P68" s="110"/>
      <c r="Q68" s="110"/>
      <c r="R68" s="110"/>
      <c r="S68" s="110"/>
      <c r="T68" s="110"/>
      <c r="U68" s="110"/>
      <c r="V68" s="110"/>
      <c r="W68" s="110"/>
      <c r="X68" s="110"/>
      <c r="Y68" s="110"/>
      <c r="Z68" s="110"/>
      <c r="AA68" s="110"/>
      <c r="AB68" s="110"/>
      <c r="AC68" s="110"/>
      <c r="AD68" s="110"/>
      <c r="AE68" s="111"/>
      <c r="AM68" s="11"/>
      <c r="AN68" s="11"/>
      <c r="AO68" s="11"/>
      <c r="AP68" s="11"/>
      <c r="AQ68" s="11"/>
      <c r="AR68" s="11"/>
    </row>
    <row r="69" spans="1:44" s="4" customFormat="1" ht="56.25">
      <c r="A69" s="82">
        <v>22</v>
      </c>
      <c r="B69" s="83" t="s">
        <v>24</v>
      </c>
      <c r="C69" s="64">
        <f t="shared" ref="C69" si="32">SUM(D69:F71)</f>
        <v>32</v>
      </c>
      <c r="D69" s="65">
        <f t="shared" ref="D69" si="33">SUM(G69:AD69)</f>
        <v>16</v>
      </c>
      <c r="E69" s="65"/>
      <c r="F69" s="66"/>
      <c r="G69" s="67">
        <v>2</v>
      </c>
      <c r="H69" s="67">
        <v>2</v>
      </c>
      <c r="I69" s="67">
        <v>2</v>
      </c>
      <c r="J69" s="67">
        <v>2</v>
      </c>
      <c r="K69" s="67">
        <v>2</v>
      </c>
      <c r="L69" s="67">
        <v>2</v>
      </c>
      <c r="M69" s="67">
        <v>2</v>
      </c>
      <c r="N69" s="104">
        <v>2</v>
      </c>
      <c r="O69" s="64"/>
      <c r="P69" s="65"/>
      <c r="Q69" s="64"/>
      <c r="R69" s="64"/>
      <c r="S69" s="65"/>
      <c r="T69" s="65"/>
      <c r="U69" s="65"/>
      <c r="V69" s="65"/>
      <c r="W69" s="65"/>
      <c r="X69" s="65"/>
      <c r="Y69" s="65"/>
      <c r="Z69" s="65"/>
      <c r="AA69" s="65"/>
      <c r="AB69" s="65"/>
      <c r="AC69" s="65"/>
      <c r="AD69" s="65"/>
      <c r="AE69" s="66" t="s">
        <v>20</v>
      </c>
      <c r="AM69" s="11"/>
      <c r="AN69" s="11"/>
      <c r="AO69" s="11"/>
      <c r="AP69" s="11"/>
      <c r="AQ69" s="11"/>
      <c r="AR69" s="11"/>
    </row>
    <row r="70" spans="1:44" s="4" customFormat="1">
      <c r="A70" s="84"/>
      <c r="B70" s="85"/>
      <c r="C70" s="71"/>
      <c r="D70" s="72"/>
      <c r="E70" s="72">
        <f t="shared" ref="E70" si="34">SUM(G70:AD70)</f>
        <v>16</v>
      </c>
      <c r="F70" s="73"/>
      <c r="G70" s="71">
        <v>2</v>
      </c>
      <c r="H70" s="71">
        <v>2</v>
      </c>
      <c r="I70" s="71">
        <v>2</v>
      </c>
      <c r="J70" s="71">
        <v>2</v>
      </c>
      <c r="K70" s="71">
        <v>2</v>
      </c>
      <c r="L70" s="71">
        <v>2</v>
      </c>
      <c r="M70" s="71">
        <v>2</v>
      </c>
      <c r="N70" s="73">
        <v>2</v>
      </c>
      <c r="O70" s="71"/>
      <c r="P70" s="72"/>
      <c r="Q70" s="71"/>
      <c r="R70" s="71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6"/>
      <c r="AM70" s="12"/>
      <c r="AN70" s="96"/>
      <c r="AO70" s="108"/>
      <c r="AP70" s="108"/>
      <c r="AQ70" s="11"/>
      <c r="AR70" s="11"/>
    </row>
    <row r="71" spans="1:44" s="4" customFormat="1" ht="19.5" thickBot="1">
      <c r="A71" s="84"/>
      <c r="B71" s="85"/>
      <c r="C71" s="79"/>
      <c r="D71" s="80"/>
      <c r="E71" s="80"/>
      <c r="F71" s="81">
        <f t="shared" ref="F71" si="35">SUM(G71:AD71)</f>
        <v>0</v>
      </c>
      <c r="G71" s="79"/>
      <c r="H71" s="80"/>
      <c r="I71" s="80"/>
      <c r="J71" s="79"/>
      <c r="K71" s="79"/>
      <c r="L71" s="80"/>
      <c r="M71" s="80"/>
      <c r="N71" s="81"/>
      <c r="O71" s="71"/>
      <c r="P71" s="72"/>
      <c r="Q71" s="71"/>
      <c r="R71" s="71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81">
        <v>45</v>
      </c>
      <c r="AM71" s="12"/>
      <c r="AN71" s="96"/>
      <c r="AO71" s="108"/>
      <c r="AP71" s="108"/>
      <c r="AQ71" s="11"/>
      <c r="AR71" s="11"/>
    </row>
    <row r="72" spans="1:44" ht="19.5" thickBot="1">
      <c r="A72" s="143" t="s">
        <v>48</v>
      </c>
      <c r="B72" s="143"/>
      <c r="C72" s="143"/>
      <c r="D72" s="143"/>
      <c r="E72" s="143"/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</row>
    <row r="73" spans="1:44" ht="19.5" thickBot="1">
      <c r="A73" s="112" t="s">
        <v>50</v>
      </c>
      <c r="B73" s="112"/>
      <c r="C73" s="112"/>
      <c r="D73" s="112"/>
      <c r="E73" s="112"/>
      <c r="F73" s="112"/>
      <c r="G73" s="112"/>
      <c r="H73" s="112"/>
      <c r="I73" s="112"/>
      <c r="J73" s="112"/>
      <c r="K73" s="113"/>
      <c r="L73" s="113"/>
      <c r="M73" s="113"/>
      <c r="N73" s="113"/>
      <c r="O73" s="113"/>
      <c r="P73" s="113"/>
      <c r="Q73" s="113"/>
      <c r="R73" s="112"/>
      <c r="S73" s="112"/>
      <c r="T73" s="112"/>
      <c r="U73" s="112"/>
      <c r="V73" s="112"/>
      <c r="W73" s="112"/>
      <c r="X73" s="112"/>
      <c r="Y73" s="112"/>
      <c r="Z73" s="112"/>
      <c r="AA73" s="112"/>
      <c r="AB73" s="112"/>
      <c r="AC73" s="112"/>
      <c r="AD73" s="112"/>
      <c r="AE73" s="112"/>
    </row>
    <row r="74" spans="1:44" s="4" customFormat="1" ht="75">
      <c r="A74" s="62">
        <v>22</v>
      </c>
      <c r="B74" s="63" t="s">
        <v>49</v>
      </c>
      <c r="C74" s="64">
        <f t="shared" ref="C74" si="36">SUM(D74:F76)</f>
        <v>48</v>
      </c>
      <c r="D74" s="65">
        <f t="shared" ref="D74" si="37">SUM(G74:P74)</f>
        <v>24</v>
      </c>
      <c r="E74" s="65"/>
      <c r="F74" s="66"/>
      <c r="G74" s="67">
        <v>4</v>
      </c>
      <c r="H74" s="68">
        <v>2</v>
      </c>
      <c r="I74" s="68">
        <v>4</v>
      </c>
      <c r="J74" s="67">
        <v>2</v>
      </c>
      <c r="K74" s="64">
        <v>4</v>
      </c>
      <c r="L74" s="65">
        <v>2</v>
      </c>
      <c r="M74" s="65">
        <v>4</v>
      </c>
      <c r="N74" s="65">
        <v>2</v>
      </c>
      <c r="O74" s="65"/>
      <c r="P74" s="144"/>
      <c r="Q74" s="65"/>
      <c r="R74" s="64"/>
      <c r="S74" s="65"/>
      <c r="T74" s="65"/>
      <c r="U74" s="65"/>
      <c r="V74" s="65"/>
      <c r="W74" s="65"/>
      <c r="X74" s="65"/>
      <c r="Y74" s="65"/>
      <c r="Z74" s="65"/>
      <c r="AA74" s="65"/>
      <c r="AB74" s="65"/>
      <c r="AC74" s="65"/>
      <c r="AD74" s="65"/>
      <c r="AE74" s="66" t="s">
        <v>20</v>
      </c>
    </row>
    <row r="75" spans="1:44" s="4" customFormat="1" ht="19.5">
      <c r="A75" s="69"/>
      <c r="B75" s="70"/>
      <c r="C75" s="71"/>
      <c r="D75" s="72"/>
      <c r="E75" s="72">
        <f t="shared" ref="E75" si="38">SUM(G75:P75)</f>
        <v>24</v>
      </c>
      <c r="F75" s="73"/>
      <c r="G75" s="71">
        <v>2</v>
      </c>
      <c r="H75" s="72">
        <v>4</v>
      </c>
      <c r="I75" s="72">
        <v>2</v>
      </c>
      <c r="J75" s="71">
        <v>4</v>
      </c>
      <c r="K75" s="74">
        <v>2</v>
      </c>
      <c r="L75" s="75">
        <v>4</v>
      </c>
      <c r="M75" s="75">
        <v>2</v>
      </c>
      <c r="N75" s="75">
        <v>4</v>
      </c>
      <c r="O75" s="75"/>
      <c r="P75" s="145"/>
      <c r="Q75" s="72"/>
      <c r="R75" s="71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6"/>
    </row>
    <row r="76" spans="1:44" s="4" customFormat="1" ht="21.75" customHeight="1" thickBot="1">
      <c r="A76" s="77"/>
      <c r="B76" s="78"/>
      <c r="C76" s="79"/>
      <c r="D76" s="80"/>
      <c r="E76" s="80"/>
      <c r="F76" s="81">
        <f t="shared" ref="F76" si="39">SUM(G76:P76)</f>
        <v>0</v>
      </c>
      <c r="G76" s="79"/>
      <c r="H76" s="80"/>
      <c r="I76" s="80"/>
      <c r="J76" s="79"/>
      <c r="K76" s="79"/>
      <c r="L76" s="80"/>
      <c r="M76" s="80"/>
      <c r="N76" s="80"/>
      <c r="O76" s="80"/>
      <c r="P76" s="146"/>
      <c r="Q76" s="80"/>
      <c r="R76" s="79"/>
      <c r="S76" s="80"/>
      <c r="T76" s="80"/>
      <c r="U76" s="80"/>
      <c r="V76" s="80"/>
      <c r="W76" s="80"/>
      <c r="X76" s="80"/>
      <c r="Y76" s="80"/>
      <c r="Z76" s="80"/>
      <c r="AA76" s="80"/>
      <c r="AB76" s="80"/>
      <c r="AC76" s="80"/>
      <c r="AD76" s="80"/>
      <c r="AE76" s="81">
        <v>27</v>
      </c>
      <c r="AM76" s="11"/>
      <c r="AN76" s="11"/>
      <c r="AO76" s="11"/>
      <c r="AP76" s="11"/>
      <c r="AQ76" s="11"/>
      <c r="AR76" s="11"/>
    </row>
    <row r="77" spans="1:44">
      <c r="C77" s="101"/>
      <c r="D77" s="101"/>
      <c r="E77" s="101"/>
      <c r="F77" s="101"/>
      <c r="G77" s="101"/>
      <c r="H77" s="101"/>
      <c r="I77" s="101"/>
      <c r="J77" s="101"/>
    </row>
    <row r="78" spans="1:44">
      <c r="C78" s="101"/>
      <c r="D78" s="101"/>
      <c r="E78" s="101"/>
      <c r="F78" s="101"/>
      <c r="G78" s="101"/>
      <c r="H78" s="101"/>
      <c r="I78" s="101"/>
      <c r="J78" s="101"/>
    </row>
    <row r="79" spans="1:44">
      <c r="C79" s="101"/>
      <c r="D79" s="101"/>
      <c r="E79" s="101"/>
      <c r="F79" s="101"/>
      <c r="G79" s="101"/>
      <c r="H79" s="101"/>
      <c r="I79" s="101"/>
      <c r="J79" s="101"/>
    </row>
    <row r="80" spans="1:44">
      <c r="C80" s="101"/>
      <c r="D80" s="101"/>
      <c r="E80" s="101"/>
      <c r="F80" s="101"/>
      <c r="G80" s="101"/>
      <c r="H80" s="101"/>
      <c r="I80" s="101"/>
      <c r="J80" s="101"/>
    </row>
    <row r="81" spans="3:10">
      <c r="C81" s="101"/>
      <c r="D81" s="101"/>
      <c r="E81" s="101"/>
      <c r="F81" s="101"/>
      <c r="G81" s="101"/>
      <c r="H81" s="101"/>
      <c r="I81" s="101"/>
      <c r="J81" s="101"/>
    </row>
    <row r="82" spans="3:10">
      <c r="C82" s="101"/>
      <c r="D82" s="101"/>
      <c r="E82" s="101"/>
      <c r="F82" s="101"/>
      <c r="G82" s="101"/>
      <c r="H82" s="101"/>
      <c r="I82" s="101"/>
      <c r="J82" s="101"/>
    </row>
  </sheetData>
  <mergeCells count="57">
    <mergeCell ref="A72:AE72"/>
    <mergeCell ref="A73:AE73"/>
    <mergeCell ref="A15:AE15"/>
    <mergeCell ref="AO66:AP66"/>
    <mergeCell ref="AO70:AP70"/>
    <mergeCell ref="AO57:AP57"/>
    <mergeCell ref="AO67:AP67"/>
    <mergeCell ref="A56:AE56"/>
    <mergeCell ref="AO52:AP52"/>
    <mergeCell ref="A52:AE52"/>
    <mergeCell ref="AO35:AP35"/>
    <mergeCell ref="AO42:AP42"/>
    <mergeCell ref="AO43:AP43"/>
    <mergeCell ref="AO50:AP50"/>
    <mergeCell ref="A28:AE28"/>
    <mergeCell ref="AO34:AP34"/>
    <mergeCell ref="AO71:AP71"/>
    <mergeCell ref="A68:AE68"/>
    <mergeCell ref="AO39:AP39"/>
    <mergeCell ref="A57:AE57"/>
    <mergeCell ref="A3:C3"/>
    <mergeCell ref="G5:H5"/>
    <mergeCell ref="A44:AE44"/>
    <mergeCell ref="A40:AE40"/>
    <mergeCell ref="L13:AO13"/>
    <mergeCell ref="A14:AE14"/>
    <mergeCell ref="A36:AE36"/>
    <mergeCell ref="AO38:AP38"/>
    <mergeCell ref="A23:AE23"/>
    <mergeCell ref="A27:AE27"/>
    <mergeCell ref="AO27:AP27"/>
    <mergeCell ref="AO40:AP40"/>
    <mergeCell ref="AO36:AP36"/>
    <mergeCell ref="AO25:AP25"/>
    <mergeCell ref="AO26:AP26"/>
    <mergeCell ref="A32:AE32"/>
    <mergeCell ref="A19:AE19"/>
    <mergeCell ref="A1:AD1"/>
    <mergeCell ref="A2:AD2"/>
    <mergeCell ref="H3:AK3"/>
    <mergeCell ref="C5:F6"/>
    <mergeCell ref="A5:A12"/>
    <mergeCell ref="B5:B12"/>
    <mergeCell ref="C7:C12"/>
    <mergeCell ref="I5:L5"/>
    <mergeCell ref="Z5:AC5"/>
    <mergeCell ref="D8:D12"/>
    <mergeCell ref="E8:E12"/>
    <mergeCell ref="F8:F12"/>
    <mergeCell ref="D7:F7"/>
    <mergeCell ref="U5:X5"/>
    <mergeCell ref="AE5:AE12"/>
    <mergeCell ref="AO59:AP59"/>
    <mergeCell ref="AO60:AP60"/>
    <mergeCell ref="A64:AE64"/>
    <mergeCell ref="AO51:AP51"/>
    <mergeCell ref="A48:AE48"/>
  </mergeCells>
  <conditionalFormatting sqref="A47">
    <cfRule type="expression" dxfId="35" priority="27" stopIfTrue="1">
      <formula>$DB43=1</formula>
    </cfRule>
  </conditionalFormatting>
  <conditionalFormatting sqref="A47:B47">
    <cfRule type="expression" dxfId="34" priority="25" stopIfTrue="1">
      <formula>$CV43&gt;0</formula>
    </cfRule>
    <cfRule type="expression" dxfId="33" priority="26" stopIfTrue="1">
      <formula>$CU43&gt;0</formula>
    </cfRule>
  </conditionalFormatting>
  <conditionalFormatting sqref="A47">
    <cfRule type="expression" dxfId="32" priority="24" stopIfTrue="1">
      <formula>$DB43=1</formula>
    </cfRule>
  </conditionalFormatting>
  <conditionalFormatting sqref="A47:B47">
    <cfRule type="expression" dxfId="31" priority="22" stopIfTrue="1">
      <formula>$CV43&gt;0</formula>
    </cfRule>
    <cfRule type="expression" dxfId="30" priority="23" stopIfTrue="1">
      <formula>$CU43&gt;0</formula>
    </cfRule>
  </conditionalFormatting>
  <conditionalFormatting sqref="A47">
    <cfRule type="expression" dxfId="29" priority="21" stopIfTrue="1">
      <formula>$DC43=1</formula>
    </cfRule>
  </conditionalFormatting>
  <conditionalFormatting sqref="A47:B47">
    <cfRule type="expression" dxfId="28" priority="19" stopIfTrue="1">
      <formula>$CW43&gt;0</formula>
    </cfRule>
    <cfRule type="expression" dxfId="27" priority="20" stopIfTrue="1">
      <formula>$CV43&gt;0</formula>
    </cfRule>
  </conditionalFormatting>
  <conditionalFormatting sqref="A55">
    <cfRule type="expression" dxfId="26" priority="18" stopIfTrue="1">
      <formula>#REF!=1</formula>
    </cfRule>
  </conditionalFormatting>
  <conditionalFormatting sqref="A55:B55">
    <cfRule type="expression" dxfId="25" priority="16" stopIfTrue="1">
      <formula>#REF!&gt;0</formula>
    </cfRule>
    <cfRule type="expression" dxfId="24" priority="17" stopIfTrue="1">
      <formula>#REF!&gt;0</formula>
    </cfRule>
  </conditionalFormatting>
  <conditionalFormatting sqref="A55">
    <cfRule type="expression" dxfId="23" priority="15" stopIfTrue="1">
      <formula>#REF!=1</formula>
    </cfRule>
  </conditionalFormatting>
  <conditionalFormatting sqref="A55:B55">
    <cfRule type="expression" dxfId="22" priority="13" stopIfTrue="1">
      <formula>#REF!&gt;0</formula>
    </cfRule>
    <cfRule type="expression" dxfId="21" priority="14" stopIfTrue="1">
      <formula>#REF!&gt;0</formula>
    </cfRule>
  </conditionalFormatting>
  <conditionalFormatting sqref="A55">
    <cfRule type="expression" dxfId="20" priority="12" stopIfTrue="1">
      <formula>#REF!=1</formula>
    </cfRule>
  </conditionalFormatting>
  <conditionalFormatting sqref="A55:B55">
    <cfRule type="expression" dxfId="19" priority="10" stopIfTrue="1">
      <formula>#REF!&gt;0</formula>
    </cfRule>
    <cfRule type="expression" dxfId="18" priority="11" stopIfTrue="1">
      <formula>#REF!&gt;0</formula>
    </cfRule>
  </conditionalFormatting>
  <conditionalFormatting sqref="A76">
    <cfRule type="expression" dxfId="17" priority="9" stopIfTrue="1">
      <formula>$DB72=1</formula>
    </cfRule>
  </conditionalFormatting>
  <conditionalFormatting sqref="A76:B76">
    <cfRule type="expression" dxfId="15" priority="7" stopIfTrue="1">
      <formula>$CV72&gt;0</formula>
    </cfRule>
    <cfRule type="expression" dxfId="14" priority="8" stopIfTrue="1">
      <formula>$CU72&gt;0</formula>
    </cfRule>
  </conditionalFormatting>
  <conditionalFormatting sqref="A76">
    <cfRule type="expression" dxfId="11" priority="6" stopIfTrue="1">
      <formula>$DB72=1</formula>
    </cfRule>
  </conditionalFormatting>
  <conditionalFormatting sqref="A76:B76">
    <cfRule type="expression" dxfId="9" priority="4" stopIfTrue="1">
      <formula>$CV72&gt;0</formula>
    </cfRule>
    <cfRule type="expression" dxfId="8" priority="5" stopIfTrue="1">
      <formula>$CU72&gt;0</formula>
    </cfRule>
  </conditionalFormatting>
  <conditionalFormatting sqref="A76">
    <cfRule type="expression" dxfId="5" priority="3" stopIfTrue="1">
      <formula>$DC72=1</formula>
    </cfRule>
  </conditionalFormatting>
  <conditionalFormatting sqref="A76:B76">
    <cfRule type="expression" dxfId="3" priority="1" stopIfTrue="1">
      <formula>$CW72&gt;0</formula>
    </cfRule>
    <cfRule type="expression" dxfId="2" priority="2" stopIfTrue="1">
      <formula>$CV72&gt;0</formula>
    </cfRule>
  </conditionalFormatting>
  <pageMargins left="0.11811023622047245" right="0.11811023622047245" top="0.74803149606299213" bottom="0.15748031496062992" header="0.11811023622047245" footer="0.11811023622047245"/>
  <pageSetup paperSize="9" scale="6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topLeftCell="A13"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Лист1!Заголовки_для_печати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Пользователь</cp:lastModifiedBy>
  <cp:lastPrinted>2021-10-06T09:01:46Z</cp:lastPrinted>
  <dcterms:created xsi:type="dcterms:W3CDTF">2015-02-10T13:27:18Z</dcterms:created>
  <dcterms:modified xsi:type="dcterms:W3CDTF">2021-10-27T11:42:40Z</dcterms:modified>
</cp:coreProperties>
</file>